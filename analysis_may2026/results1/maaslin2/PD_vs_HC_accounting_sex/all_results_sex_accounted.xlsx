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nielcm/Desktop/MIGUT/analysis_may2026/maaslin2/PD_vs_HC_accounting_sex/"/>
    </mc:Choice>
  </mc:AlternateContent>
  <xr:revisionPtr revIDLastSave="0" documentId="8_{37D7DEC7-C671-684F-9D8E-6030A71A2380}" xr6:coauthVersionLast="47" xr6:coauthVersionMax="47" xr10:uidLastSave="{00000000-0000-0000-0000-000000000000}"/>
  <bookViews>
    <workbookView xWindow="0" yWindow="0" windowWidth="38400" windowHeight="21600" xr2:uid="{3EB584DE-955B-FB43-96BF-2B93597DCD10}"/>
  </bookViews>
  <sheets>
    <sheet name="all_resul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1" l="1"/>
  <c r="E32" i="1"/>
  <c r="E54" i="1"/>
  <c r="E4" i="1"/>
  <c r="E100" i="1"/>
  <c r="E12" i="1"/>
  <c r="E6" i="1"/>
  <c r="E7" i="1"/>
  <c r="E3" i="1"/>
  <c r="E73" i="1"/>
  <c r="E9" i="1"/>
  <c r="E27" i="1"/>
  <c r="E11" i="1"/>
  <c r="E8" i="1"/>
  <c r="E40" i="1"/>
  <c r="E94" i="1"/>
  <c r="E15" i="1"/>
  <c r="E5" i="1"/>
  <c r="E38" i="1"/>
  <c r="E114" i="1"/>
  <c r="E74" i="1"/>
  <c r="E124" i="1"/>
  <c r="E70" i="1"/>
  <c r="E23" i="1"/>
  <c r="E68" i="1"/>
  <c r="E10" i="1"/>
  <c r="E101" i="1"/>
  <c r="E46" i="1"/>
  <c r="E105" i="1"/>
  <c r="E65" i="1"/>
  <c r="E25" i="1"/>
  <c r="E52" i="1"/>
  <c r="E45" i="1"/>
  <c r="E244" i="1"/>
  <c r="E64" i="1"/>
  <c r="E109" i="1"/>
  <c r="E17" i="1"/>
  <c r="E30" i="1"/>
  <c r="E81" i="1"/>
  <c r="E250" i="1"/>
  <c r="E118" i="1"/>
  <c r="E37" i="1"/>
  <c r="E48" i="1"/>
  <c r="E43" i="1"/>
  <c r="E13" i="1"/>
  <c r="E82" i="1"/>
  <c r="E88" i="1"/>
  <c r="E20" i="1"/>
  <c r="E76" i="1"/>
  <c r="E174" i="1"/>
  <c r="E113" i="1"/>
  <c r="E132" i="1"/>
  <c r="E57" i="1"/>
  <c r="E28" i="1"/>
  <c r="E19" i="1"/>
  <c r="E288" i="1"/>
  <c r="E119" i="1"/>
  <c r="E97" i="1"/>
  <c r="E93" i="1"/>
  <c r="E111" i="1"/>
  <c r="E265" i="1"/>
  <c r="E62" i="1"/>
  <c r="E18" i="1"/>
  <c r="E99" i="1"/>
  <c r="E72" i="1"/>
  <c r="E53" i="1"/>
  <c r="E63" i="1"/>
  <c r="E39" i="1"/>
  <c r="E34" i="1"/>
  <c r="E83" i="1"/>
  <c r="E29" i="1"/>
  <c r="E143" i="1"/>
  <c r="E22" i="1"/>
  <c r="E144" i="1"/>
  <c r="E14" i="1"/>
  <c r="E67" i="1"/>
  <c r="E156" i="1"/>
  <c r="E42" i="1"/>
  <c r="E47" i="1"/>
  <c r="E199" i="1"/>
  <c r="E71" i="1"/>
  <c r="E134" i="1"/>
  <c r="E246" i="1"/>
  <c r="E61" i="1"/>
  <c r="E50" i="1"/>
  <c r="E202" i="1"/>
  <c r="E36" i="1"/>
  <c r="E35" i="1"/>
  <c r="E84" i="1"/>
  <c r="E89" i="1"/>
  <c r="E298" i="1"/>
  <c r="E183" i="1"/>
  <c r="E254" i="1"/>
  <c r="E56" i="1"/>
  <c r="E98" i="1"/>
  <c r="E162" i="1"/>
  <c r="E112" i="1"/>
  <c r="E85" i="1"/>
  <c r="E204" i="1"/>
  <c r="E159" i="1"/>
  <c r="E66" i="1"/>
  <c r="E226" i="1"/>
  <c r="E305" i="1"/>
  <c r="E223" i="1"/>
  <c r="E200" i="1"/>
  <c r="E102" i="1"/>
  <c r="E291" i="1"/>
  <c r="E230" i="1"/>
  <c r="E203" i="1"/>
  <c r="E86" i="1"/>
  <c r="E31" i="1"/>
  <c r="E214" i="1"/>
  <c r="E96" i="1"/>
  <c r="E222" i="1"/>
  <c r="E106" i="1"/>
  <c r="E125" i="1"/>
  <c r="E317" i="1"/>
  <c r="E166" i="1"/>
  <c r="E145" i="1"/>
  <c r="E300" i="1"/>
  <c r="E368" i="1"/>
  <c r="E260" i="1"/>
  <c r="E215" i="1"/>
  <c r="E190" i="1"/>
  <c r="E90" i="1"/>
  <c r="E152" i="1"/>
  <c r="E252" i="1"/>
  <c r="E172" i="1"/>
  <c r="E218" i="1"/>
  <c r="E216" i="1"/>
  <c r="E389" i="1"/>
  <c r="E77" i="1"/>
  <c r="E283" i="1"/>
  <c r="E344" i="1"/>
  <c r="E92" i="1"/>
  <c r="E55" i="1"/>
  <c r="E208" i="1"/>
  <c r="E157" i="1"/>
  <c r="E79" i="1"/>
  <c r="E95" i="1"/>
  <c r="E107" i="1"/>
  <c r="E116" i="1"/>
  <c r="E306" i="1"/>
  <c r="E461" i="1"/>
  <c r="E153" i="1"/>
  <c r="E277" i="1"/>
  <c r="E135" i="1"/>
  <c r="E318" i="1"/>
  <c r="E353" i="1"/>
  <c r="E285" i="1"/>
  <c r="E131" i="1"/>
  <c r="E133" i="1"/>
  <c r="E173" i="1"/>
  <c r="E140" i="1"/>
  <c r="E138" i="1"/>
  <c r="E108" i="1"/>
  <c r="E408" i="1"/>
  <c r="E120" i="1"/>
  <c r="E170" i="1"/>
  <c r="E420" i="1"/>
  <c r="E351" i="1"/>
  <c r="E58" i="1"/>
  <c r="E160" i="1"/>
  <c r="E180" i="1"/>
  <c r="E340" i="1"/>
  <c r="E345" i="1"/>
  <c r="E336" i="1"/>
  <c r="E328" i="1"/>
  <c r="E176" i="1"/>
  <c r="E193" i="1"/>
  <c r="E232" i="1"/>
  <c r="E243" i="1"/>
  <c r="E424" i="1"/>
  <c r="E308" i="1"/>
  <c r="E209" i="1"/>
  <c r="E192" i="1"/>
  <c r="E128" i="1"/>
  <c r="E220" i="1"/>
  <c r="E371" i="1"/>
  <c r="E253" i="1"/>
  <c r="E294" i="1"/>
  <c r="E247" i="1"/>
  <c r="E362" i="1"/>
  <c r="E194" i="1"/>
  <c r="E231" i="1"/>
  <c r="E273" i="1"/>
  <c r="E455" i="1"/>
  <c r="E181" i="1"/>
  <c r="E251" i="1"/>
  <c r="E326" i="1"/>
  <c r="E161" i="1"/>
  <c r="E168" i="1"/>
  <c r="E238" i="1"/>
  <c r="E210" i="1"/>
  <c r="E189" i="1"/>
  <c r="E382" i="1"/>
  <c r="E522" i="1"/>
  <c r="E439" i="1"/>
  <c r="E342" i="1"/>
  <c r="E486" i="1"/>
  <c r="E185" i="1"/>
  <c r="E184" i="1"/>
  <c r="E275" i="1"/>
  <c r="E297" i="1"/>
  <c r="E437" i="1"/>
  <c r="E387" i="1"/>
  <c r="E195" i="1"/>
  <c r="E493" i="1"/>
  <c r="E325" i="1"/>
  <c r="E412" i="1"/>
  <c r="E241" i="1"/>
  <c r="E451" i="1"/>
  <c r="E198" i="1"/>
  <c r="E175" i="1"/>
  <c r="E434" i="1"/>
  <c r="E536" i="1"/>
  <c r="E530" i="1"/>
  <c r="E433" i="1"/>
  <c r="E475" i="1"/>
  <c r="E385" i="1"/>
  <c r="E339" i="1"/>
  <c r="E418" i="1"/>
  <c r="E444" i="1"/>
  <c r="E489" i="1"/>
  <c r="E528" i="1"/>
  <c r="E491" i="1"/>
  <c r="E477" i="1"/>
  <c r="E467" i="1"/>
  <c r="E264" i="1"/>
  <c r="E482" i="1"/>
  <c r="E286" i="1"/>
  <c r="E494" i="1"/>
  <c r="E419" i="1"/>
  <c r="E431" i="1"/>
  <c r="E480" i="1"/>
  <c r="E481" i="1"/>
  <c r="E492" i="1"/>
  <c r="E299" i="1"/>
  <c r="E355" i="1"/>
  <c r="E377" i="1"/>
  <c r="E435" i="1"/>
  <c r="E240" i="1"/>
  <c r="E405" i="1"/>
  <c r="E543" i="1"/>
  <c r="E526" i="1"/>
  <c r="E363" i="1"/>
  <c r="E295" i="1"/>
  <c r="E564" i="1"/>
  <c r="E366" i="1"/>
  <c r="E403" i="1"/>
  <c r="E567" i="1"/>
  <c r="E560" i="1"/>
  <c r="E361" i="1"/>
  <c r="E456" i="1"/>
  <c r="E490" i="1"/>
  <c r="E329" i="1"/>
  <c r="E237" i="1"/>
  <c r="E292" i="1"/>
  <c r="E597" i="1"/>
  <c r="E332" i="1"/>
  <c r="E322" i="1"/>
  <c r="E630" i="1"/>
  <c r="E541" i="1"/>
  <c r="E333" i="1"/>
  <c r="E386" i="1"/>
  <c r="E358" i="1"/>
  <c r="E271" i="1"/>
  <c r="E529" i="1"/>
  <c r="E615" i="1"/>
  <c r="E321" i="1"/>
  <c r="E401" i="1"/>
  <c r="E422" i="1"/>
  <c r="E562" i="1"/>
  <c r="E430" i="1"/>
  <c r="E315" i="1"/>
  <c r="E523" i="1"/>
  <c r="E510" i="1"/>
  <c r="E550" i="1"/>
  <c r="E488" i="1"/>
  <c r="E350" i="1"/>
  <c r="E337" i="1"/>
  <c r="E581" i="1"/>
  <c r="E582" i="1"/>
  <c r="E534" i="1"/>
  <c r="E415" i="1"/>
  <c r="E310" i="1"/>
  <c r="E398" i="1"/>
  <c r="E479" i="1"/>
  <c r="E521" i="1"/>
  <c r="E574" i="1"/>
  <c r="E474" i="1"/>
  <c r="E506" i="1"/>
  <c r="E500" i="1"/>
  <c r="E660" i="1"/>
  <c r="E608" i="1"/>
  <c r="E392" i="1"/>
  <c r="E622" i="1"/>
  <c r="E647" i="1"/>
  <c r="E555" i="1"/>
  <c r="E585" i="1"/>
  <c r="E651" i="1"/>
  <c r="E565" i="1"/>
  <c r="E548" i="1"/>
  <c r="E621" i="1"/>
  <c r="E511" i="1"/>
  <c r="E601" i="1"/>
  <c r="E580" i="1"/>
  <c r="E393" i="1"/>
  <c r="E576" i="1"/>
  <c r="E487" i="1"/>
  <c r="E628" i="1"/>
  <c r="E623" i="1"/>
  <c r="E618" i="1"/>
  <c r="E650" i="1"/>
  <c r="E631" i="1"/>
  <c r="E610" i="1"/>
  <c r="E662" i="1"/>
  <c r="E508" i="1"/>
  <c r="E667" i="1"/>
  <c r="E591" i="1"/>
  <c r="E670" i="1"/>
  <c r="E470" i="1"/>
  <c r="E539" i="1"/>
  <c r="E627" i="1"/>
  <c r="E645" i="1"/>
  <c r="E544" i="1"/>
  <c r="E656" i="1"/>
  <c r="E614" i="1"/>
  <c r="E575" i="1"/>
  <c r="E625" i="1"/>
  <c r="E609" i="1"/>
  <c r="E671" i="1"/>
  <c r="E672" i="1"/>
  <c r="E599" i="1"/>
  <c r="E547" i="1"/>
  <c r="E594" i="1"/>
  <c r="E668" i="1"/>
  <c r="E655" i="1"/>
  <c r="E683" i="1"/>
  <c r="E636" i="1"/>
  <c r="E603" i="1"/>
  <c r="E570" i="1"/>
  <c r="E684" i="1"/>
  <c r="E691" i="1"/>
  <c r="E657" i="1"/>
  <c r="E703" i="1"/>
  <c r="E680" i="1"/>
  <c r="E669" i="1"/>
  <c r="E706" i="1"/>
  <c r="E629" i="1"/>
  <c r="E708" i="1"/>
  <c r="E634" i="1"/>
  <c r="E676" i="1"/>
  <c r="E697" i="1"/>
  <c r="E714" i="1"/>
  <c r="E701" i="1"/>
  <c r="E719" i="1"/>
  <c r="E700" i="1"/>
  <c r="E692" i="1"/>
  <c r="E727" i="1"/>
  <c r="E696" i="1"/>
  <c r="E730" i="1"/>
  <c r="E722" i="1"/>
  <c r="E690" i="1"/>
  <c r="E724" i="1"/>
  <c r="E734" i="1"/>
  <c r="E742" i="1"/>
  <c r="E725" i="1"/>
  <c r="E739" i="1"/>
  <c r="E738" i="1"/>
  <c r="E741" i="1"/>
  <c r="E745" i="1"/>
  <c r="E748" i="1"/>
  <c r="E24" i="1"/>
  <c r="E26" i="1"/>
  <c r="E49" i="1"/>
  <c r="E21" i="1"/>
  <c r="E16" i="1"/>
  <c r="E41" i="1"/>
  <c r="E126" i="1"/>
  <c r="E290" i="1"/>
  <c r="E154" i="1"/>
  <c r="E75" i="1"/>
  <c r="E91" i="1"/>
  <c r="E233" i="1"/>
  <c r="E257" i="1"/>
  <c r="E146" i="1"/>
  <c r="E33" i="1"/>
  <c r="E341" i="1"/>
  <c r="E187" i="1"/>
  <c r="E139" i="1"/>
  <c r="E263" i="1"/>
  <c r="E59" i="1"/>
  <c r="E60" i="1"/>
  <c r="E148" i="1"/>
  <c r="E104" i="1"/>
  <c r="E207" i="1"/>
  <c r="E44" i="1"/>
  <c r="E388" i="1"/>
  <c r="E155" i="1"/>
  <c r="E136" i="1"/>
  <c r="E205" i="1"/>
  <c r="E122" i="1"/>
  <c r="E267" i="1"/>
  <c r="E261" i="1"/>
  <c r="E169" i="1"/>
  <c r="E117" i="1"/>
  <c r="E179" i="1"/>
  <c r="E235" i="1"/>
  <c r="E163" i="1"/>
  <c r="E110" i="1"/>
  <c r="E239" i="1"/>
  <c r="E269" i="1"/>
  <c r="E188" i="1"/>
  <c r="E227" i="1"/>
  <c r="E137" i="1"/>
  <c r="E320" i="1"/>
  <c r="E211" i="1"/>
  <c r="E51" i="1"/>
  <c r="E287" i="1"/>
  <c r="E400" i="1"/>
  <c r="E115" i="1"/>
  <c r="E296" i="1"/>
  <c r="E69" i="1"/>
  <c r="E213" i="1"/>
  <c r="E316" i="1"/>
  <c r="E158" i="1"/>
  <c r="E171" i="1"/>
  <c r="E429" i="1"/>
  <c r="E319" i="1"/>
  <c r="E217" i="1"/>
  <c r="E256" i="1"/>
  <c r="E167" i="1"/>
  <c r="E129" i="1"/>
  <c r="E206" i="1"/>
  <c r="E212" i="1"/>
  <c r="E268" i="1"/>
  <c r="E186" i="1"/>
  <c r="E103" i="1"/>
  <c r="E78" i="1"/>
  <c r="E276" i="1"/>
  <c r="E304" i="1"/>
  <c r="E229" i="1"/>
  <c r="E409" i="1"/>
  <c r="E228" i="1"/>
  <c r="E149" i="1"/>
  <c r="E87" i="1"/>
  <c r="E150" i="1"/>
  <c r="E330" i="1"/>
  <c r="E142" i="1"/>
  <c r="E280" i="1"/>
  <c r="E369" i="1"/>
  <c r="E311" i="1"/>
  <c r="E164" i="1"/>
  <c r="E130" i="1"/>
  <c r="E323" i="1"/>
  <c r="E121" i="1"/>
  <c r="E384" i="1"/>
  <c r="E343" i="1"/>
  <c r="E201" i="1"/>
  <c r="E476" i="1"/>
  <c r="E293" i="1"/>
  <c r="E165" i="1"/>
  <c r="E348" i="1"/>
  <c r="E221" i="1"/>
  <c r="E443" i="1"/>
  <c r="E413" i="1"/>
  <c r="E354" i="1"/>
  <c r="E383" i="1"/>
  <c r="E378" i="1"/>
  <c r="E123" i="1"/>
  <c r="E177" i="1"/>
  <c r="E236" i="1"/>
  <c r="E447" i="1"/>
  <c r="E397" i="1"/>
  <c r="E147" i="1"/>
  <c r="E394" i="1"/>
  <c r="E459" i="1"/>
  <c r="E141" i="1"/>
  <c r="E525" i="1"/>
  <c r="E262" i="1"/>
  <c r="E224" i="1"/>
  <c r="E396" i="1"/>
  <c r="E245" i="1"/>
  <c r="E349" i="1"/>
  <c r="E127" i="1"/>
  <c r="E399" i="1"/>
  <c r="E196" i="1"/>
  <c r="E197" i="1"/>
  <c r="E410" i="1"/>
  <c r="E423" i="1"/>
  <c r="E406" i="1"/>
  <c r="E395" i="1"/>
  <c r="E421" i="1"/>
  <c r="E309" i="1"/>
  <c r="E449" i="1"/>
  <c r="E178" i="1"/>
  <c r="E453" i="1"/>
  <c r="E390" i="1"/>
  <c r="E219" i="1"/>
  <c r="E346" i="1"/>
  <c r="E411" i="1"/>
  <c r="E497" i="1"/>
  <c r="E520" i="1"/>
  <c r="E502" i="1"/>
  <c r="E463" i="1"/>
  <c r="E272" i="1"/>
  <c r="E289" i="1"/>
  <c r="E301" i="1"/>
  <c r="E302" i="1"/>
  <c r="E303" i="1"/>
  <c r="E249" i="1"/>
  <c r="E407" i="1"/>
  <c r="E428" i="1"/>
  <c r="E191" i="1"/>
  <c r="E248" i="1"/>
  <c r="E448" i="1"/>
  <c r="E485" i="1"/>
  <c r="E225" i="1"/>
  <c r="E151" i="1"/>
  <c r="E347" i="1"/>
  <c r="E375" i="1"/>
  <c r="E367" i="1"/>
  <c r="E427" i="1"/>
  <c r="E313" i="1"/>
  <c r="E425" i="1"/>
  <c r="E279" i="1"/>
  <c r="E182" i="1"/>
  <c r="E478" i="1"/>
  <c r="E416" i="1"/>
  <c r="E569" i="1"/>
  <c r="E557" i="1"/>
  <c r="E426" i="1"/>
  <c r="E542" i="1"/>
  <c r="E464" i="1"/>
  <c r="E281" i="1"/>
  <c r="E468" i="1"/>
  <c r="E518" i="1"/>
  <c r="E258" i="1"/>
  <c r="E266" i="1"/>
  <c r="E452" i="1"/>
  <c r="E376" i="1"/>
  <c r="E242" i="1"/>
  <c r="E327" i="1"/>
  <c r="E512" i="1"/>
  <c r="E516" i="1"/>
  <c r="E356" i="1"/>
  <c r="E496" i="1"/>
  <c r="E417" i="1"/>
  <c r="E278" i="1"/>
  <c r="E307" i="1"/>
  <c r="E270" i="1"/>
  <c r="E324" i="1"/>
  <c r="E255" i="1"/>
  <c r="E274" i="1"/>
  <c r="E458" i="1"/>
  <c r="E338" i="1"/>
  <c r="E545" i="1"/>
  <c r="E558" i="1"/>
  <c r="E314" i="1"/>
  <c r="E465" i="1"/>
  <c r="E391" i="1"/>
  <c r="E372" i="1"/>
  <c r="E515" i="1"/>
  <c r="E450" i="1"/>
  <c r="E438" i="1"/>
  <c r="E445" i="1"/>
  <c r="E604" i="1"/>
  <c r="E331" i="1"/>
  <c r="E460" i="1"/>
  <c r="E259" i="1"/>
  <c r="E483" i="1"/>
  <c r="E533" i="1"/>
  <c r="E472" i="1"/>
  <c r="E312" i="1"/>
  <c r="E414" i="1"/>
  <c r="E532" i="1"/>
  <c r="E589" i="1"/>
  <c r="E370" i="1"/>
  <c r="E573" i="1"/>
  <c r="E234" i="1"/>
  <c r="E335" i="1"/>
  <c r="E514" i="1"/>
  <c r="E352" i="1"/>
  <c r="E612" i="1"/>
  <c r="E538" i="1"/>
  <c r="E503" i="1"/>
  <c r="E374" i="1"/>
  <c r="E571" i="1"/>
  <c r="E282" i="1"/>
  <c r="E359" i="1"/>
  <c r="E441" i="1"/>
  <c r="E552" i="1"/>
  <c r="E507" i="1"/>
  <c r="E556" i="1"/>
  <c r="E563" i="1"/>
  <c r="E540" i="1"/>
  <c r="E549" i="1"/>
  <c r="E364" i="1"/>
  <c r="E535" i="1"/>
  <c r="E373" i="1"/>
  <c r="E462" i="1"/>
  <c r="E469" i="1"/>
  <c r="E402" i="1"/>
  <c r="E334" i="1"/>
  <c r="E379" i="1"/>
  <c r="E495" i="1"/>
  <c r="E473" i="1"/>
  <c r="E436" i="1"/>
  <c r="E484" i="1"/>
  <c r="E559" i="1"/>
  <c r="E432" i="1"/>
  <c r="E551" i="1"/>
  <c r="E509" i="1"/>
  <c r="E457" i="1"/>
  <c r="E360" i="1"/>
  <c r="E365" i="1"/>
  <c r="E380" i="1"/>
  <c r="E646" i="1"/>
  <c r="E527" i="1"/>
  <c r="E466" i="1"/>
  <c r="E442" i="1"/>
  <c r="E446" i="1"/>
  <c r="E284" i="1"/>
  <c r="E357" i="1"/>
  <c r="E617" i="1"/>
  <c r="E611" i="1"/>
  <c r="E583" i="1"/>
  <c r="E381" i="1"/>
  <c r="E606" i="1"/>
  <c r="E572" i="1"/>
  <c r="E513" i="1"/>
  <c r="E524" i="1"/>
  <c r="E579" i="1"/>
  <c r="E661" i="1"/>
  <c r="E537" i="1"/>
  <c r="E499" i="1"/>
  <c r="E471" i="1"/>
  <c r="E600" i="1"/>
  <c r="E501" i="1"/>
  <c r="E546" i="1"/>
  <c r="E638" i="1"/>
  <c r="E440" i="1"/>
  <c r="E595" i="1"/>
  <c r="E596" i="1"/>
  <c r="E620" i="1"/>
  <c r="E505" i="1"/>
  <c r="E643" i="1"/>
  <c r="E553" i="1"/>
  <c r="E454" i="1"/>
  <c r="E531" i="1"/>
  <c r="E586" i="1"/>
  <c r="E568" i="1"/>
  <c r="E517" i="1"/>
  <c r="E598" i="1"/>
  <c r="E498" i="1"/>
  <c r="E504" i="1"/>
  <c r="E561" i="1"/>
  <c r="E635" i="1"/>
  <c r="E590" i="1"/>
  <c r="E566" i="1"/>
  <c r="E578" i="1"/>
  <c r="E665" i="1"/>
  <c r="E619" i="1"/>
  <c r="E616" i="1"/>
  <c r="E607" i="1"/>
  <c r="E674" i="1"/>
  <c r="E577" i="1"/>
  <c r="E654" i="1"/>
  <c r="E688" i="1"/>
  <c r="E404" i="1"/>
  <c r="E663" i="1"/>
  <c r="E592" i="1"/>
  <c r="E584" i="1"/>
  <c r="E642" i="1"/>
  <c r="E605" i="1"/>
  <c r="E554" i="1"/>
  <c r="E519" i="1"/>
  <c r="E704" i="1"/>
  <c r="E689" i="1"/>
  <c r="E682" i="1"/>
  <c r="E639" i="1"/>
  <c r="E602" i="1"/>
  <c r="E678" i="1"/>
  <c r="E587" i="1"/>
  <c r="E633" i="1"/>
  <c r="E681" i="1"/>
  <c r="E626" i="1"/>
  <c r="E699" i="1"/>
  <c r="E613" i="1"/>
  <c r="E702" i="1"/>
  <c r="E640" i="1"/>
  <c r="E632" i="1"/>
  <c r="E652" i="1"/>
  <c r="E677" i="1"/>
  <c r="E593" i="1"/>
  <c r="E693" i="1"/>
  <c r="E687" i="1"/>
  <c r="E653" i="1"/>
  <c r="E658" i="1"/>
  <c r="E649" i="1"/>
  <c r="E624" i="1"/>
  <c r="E666" i="1"/>
  <c r="E694" i="1"/>
  <c r="E637" i="1"/>
  <c r="E709" i="1"/>
  <c r="E685" i="1"/>
  <c r="E641" i="1"/>
  <c r="E686" i="1"/>
  <c r="E695" i="1"/>
  <c r="E716" i="1"/>
  <c r="E648" i="1"/>
  <c r="E644" i="1"/>
  <c r="E588" i="1"/>
  <c r="E707" i="1"/>
  <c r="E705" i="1"/>
  <c r="E659" i="1"/>
  <c r="E717" i="1"/>
  <c r="E718" i="1"/>
  <c r="E721" i="1"/>
  <c r="E673" i="1"/>
  <c r="E679" i="1"/>
  <c r="E698" i="1"/>
  <c r="E675" i="1"/>
  <c r="E712" i="1"/>
  <c r="E711" i="1"/>
  <c r="E729" i="1"/>
  <c r="E715" i="1"/>
  <c r="E664" i="1"/>
  <c r="E713" i="1"/>
  <c r="E710" i="1"/>
  <c r="E726" i="1"/>
  <c r="E736" i="1"/>
  <c r="E732" i="1"/>
  <c r="E723" i="1"/>
  <c r="E731" i="1"/>
  <c r="E720" i="1"/>
  <c r="E735" i="1"/>
  <c r="E740" i="1"/>
  <c r="E728" i="1"/>
  <c r="E733" i="1"/>
  <c r="E737" i="1"/>
  <c r="E743" i="1"/>
  <c r="E747" i="1"/>
  <c r="E746" i="1"/>
  <c r="E744" i="1"/>
  <c r="E749" i="1"/>
  <c r="E80" i="1"/>
  <c r="L749" i="1"/>
  <c r="K24" i="1"/>
  <c r="K2" i="1"/>
  <c r="M749" i="1" l="1"/>
  <c r="K26" i="1"/>
  <c r="K49" i="1" s="1"/>
  <c r="K21" i="1" s="1"/>
  <c r="K16" i="1" s="1"/>
  <c r="K41" i="1" s="1"/>
  <c r="K126" i="1" s="1"/>
  <c r="K723" i="1" l="1"/>
  <c r="K731" i="1" s="1"/>
  <c r="K720" i="1" s="1"/>
  <c r="K735" i="1" s="1"/>
  <c r="K740" i="1" s="1"/>
  <c r="K728" i="1" s="1"/>
  <c r="K746" i="1" l="1"/>
  <c r="K297" i="1"/>
  <c r="K437" i="1" s="1"/>
  <c r="K749" i="1" l="1"/>
  <c r="K714" i="1"/>
  <c r="K738" i="1" l="1"/>
  <c r="K741" i="1" l="1"/>
  <c r="K745" i="1" l="1"/>
  <c r="K748" i="1" l="1"/>
  <c r="L748" i="1" s="1"/>
  <c r="M748" i="1" s="1"/>
  <c r="K52" i="1"/>
  <c r="K53" i="1"/>
  <c r="K54" i="1"/>
  <c r="K3" i="1"/>
  <c r="K4" i="1"/>
  <c r="K92" i="1"/>
  <c r="K93" i="1"/>
  <c r="K94" i="1"/>
  <c r="K95" i="1"/>
  <c r="K96" i="1"/>
  <c r="K97" i="1"/>
  <c r="K98" i="1"/>
  <c r="K99" i="1"/>
  <c r="K100" i="1"/>
  <c r="K5" i="1"/>
  <c r="K6" i="1"/>
  <c r="K7" i="1"/>
  <c r="K8" i="1"/>
  <c r="K9" i="1"/>
  <c r="K10" i="1"/>
  <c r="K11" i="1"/>
  <c r="K12" i="1"/>
  <c r="K70" i="1"/>
  <c r="K71" i="1"/>
  <c r="K72" i="1"/>
  <c r="K73" i="1"/>
  <c r="K27" i="1"/>
  <c r="K34" i="1"/>
  <c r="K35" i="1"/>
  <c r="K36" i="1"/>
  <c r="K37" i="1"/>
  <c r="K38" i="1"/>
  <c r="K39" i="1"/>
  <c r="K40" i="1"/>
  <c r="K13" i="1"/>
  <c r="K14" i="1"/>
  <c r="K15" i="1"/>
  <c r="K111" i="1"/>
  <c r="K112" i="1"/>
  <c r="K113" i="1"/>
  <c r="K114" i="1"/>
  <c r="K74" i="1"/>
  <c r="K124" i="1"/>
  <c r="K22" i="1"/>
  <c r="K23" i="1"/>
  <c r="K61" i="1"/>
  <c r="K62" i="1"/>
  <c r="K63" i="1"/>
  <c r="K64" i="1"/>
  <c r="K65" i="1"/>
  <c r="K66" i="1"/>
  <c r="K67" i="1"/>
  <c r="K68" i="1"/>
  <c r="K101" i="1"/>
  <c r="K45" i="1"/>
  <c r="K46" i="1"/>
  <c r="K105" i="1"/>
  <c r="K25" i="1"/>
  <c r="K243" i="1"/>
  <c r="K244" i="1"/>
  <c r="K106" i="1"/>
  <c r="K107" i="1"/>
  <c r="K108" i="1"/>
  <c r="K109" i="1"/>
  <c r="K17" i="1"/>
  <c r="K28" i="1"/>
  <c r="K29" i="1"/>
  <c r="K30" i="1"/>
  <c r="K81" i="1"/>
  <c r="K250" i="1"/>
  <c r="K118" i="1"/>
  <c r="K47" i="1"/>
  <c r="K48" i="1"/>
  <c r="K42" i="1"/>
  <c r="K43" i="1"/>
  <c r="K82" i="1"/>
  <c r="K88" i="1"/>
  <c r="K154" i="1"/>
  <c r="K75" i="1"/>
  <c r="K91" i="1"/>
  <c r="K233" i="1"/>
  <c r="K255" i="1"/>
  <c r="K256" i="1"/>
  <c r="K257" i="1"/>
  <c r="K146" i="1"/>
  <c r="K33" i="1"/>
  <c r="K341" i="1"/>
  <c r="K186" i="1"/>
  <c r="K187" i="1"/>
  <c r="K139" i="1"/>
  <c r="K261" i="1"/>
  <c r="K262" i="1"/>
  <c r="K263" i="1"/>
  <c r="K59" i="1"/>
  <c r="K60" i="1"/>
  <c r="K147" i="1"/>
  <c r="K148" i="1"/>
  <c r="K103" i="1"/>
  <c r="K104" i="1"/>
  <c r="K205" i="1"/>
  <c r="K206" i="1"/>
  <c r="K207" i="1"/>
  <c r="K44" i="1"/>
  <c r="K388" i="1"/>
  <c r="K155" i="1"/>
  <c r="K136" i="1"/>
  <c r="K121" i="1"/>
  <c r="K122" i="1"/>
  <c r="K266" i="1"/>
  <c r="K267" i="1"/>
  <c r="K169" i="1"/>
  <c r="K117" i="1"/>
  <c r="K177" i="1"/>
  <c r="K178" i="1"/>
  <c r="K179" i="1"/>
  <c r="K234" i="1"/>
  <c r="K235" i="1"/>
  <c r="K163" i="1"/>
  <c r="K110" i="1"/>
  <c r="K239" i="1"/>
  <c r="K268" i="1"/>
  <c r="K269" i="1"/>
  <c r="K188" i="1"/>
  <c r="K227" i="1"/>
  <c r="K137" i="1"/>
  <c r="K319" i="1"/>
  <c r="K320" i="1"/>
  <c r="K211" i="1"/>
  <c r="K51" i="1"/>
  <c r="K287" i="1"/>
  <c r="K399" i="1"/>
  <c r="K400" i="1"/>
  <c r="K115" i="1"/>
  <c r="K296" i="1"/>
  <c r="K69" i="1"/>
  <c r="K212" i="1"/>
  <c r="K213" i="1"/>
  <c r="K316" i="1"/>
  <c r="K158" i="1"/>
  <c r="K171" i="1"/>
  <c r="K425" i="1"/>
  <c r="K426" i="1"/>
  <c r="K427" i="1"/>
  <c r="K428" i="1"/>
  <c r="K429" i="1"/>
  <c r="K217" i="1"/>
  <c r="K167" i="1"/>
  <c r="K129" i="1"/>
  <c r="K78" i="1"/>
  <c r="K276" i="1"/>
  <c r="K301" i="1"/>
  <c r="K302" i="1"/>
  <c r="K303" i="1"/>
  <c r="K304" i="1"/>
  <c r="K228" i="1"/>
  <c r="K229" i="1"/>
  <c r="K409" i="1"/>
  <c r="K149" i="1"/>
  <c r="K87" i="1"/>
  <c r="K150" i="1"/>
  <c r="K330" i="1"/>
  <c r="K141" i="1"/>
  <c r="K142" i="1"/>
  <c r="K278" i="1"/>
  <c r="K279" i="1"/>
  <c r="K280" i="1"/>
  <c r="K369" i="1"/>
  <c r="K311" i="1"/>
  <c r="K164" i="1"/>
  <c r="K130" i="1"/>
  <c r="K323" i="1"/>
  <c r="K383" i="1"/>
  <c r="K384" i="1"/>
  <c r="K343" i="1"/>
  <c r="K201" i="1"/>
  <c r="K476" i="1"/>
  <c r="K293" i="1"/>
  <c r="K165" i="1"/>
  <c r="K346" i="1"/>
  <c r="K347" i="1"/>
  <c r="K348" i="1"/>
  <c r="K221" i="1"/>
  <c r="K440" i="1"/>
  <c r="K441" i="1"/>
  <c r="K442" i="1"/>
  <c r="K443" i="1"/>
  <c r="K413" i="1"/>
  <c r="K354" i="1"/>
  <c r="K378" i="1"/>
  <c r="K123" i="1"/>
  <c r="K236" i="1"/>
  <c r="K445" i="1"/>
  <c r="K446" i="1"/>
  <c r="K447" i="1"/>
  <c r="K394" i="1"/>
  <c r="K395" i="1"/>
  <c r="K396" i="1"/>
  <c r="K397" i="1"/>
  <c r="K457" i="1"/>
  <c r="K458" i="1"/>
  <c r="K459" i="1"/>
  <c r="K524" i="1"/>
  <c r="K525" i="1"/>
  <c r="K224" i="1"/>
  <c r="K245" i="1"/>
  <c r="K349" i="1"/>
  <c r="K127" i="1"/>
  <c r="K196" i="1"/>
  <c r="K197" i="1"/>
  <c r="K410" i="1"/>
  <c r="K423" i="1"/>
  <c r="K406" i="1"/>
  <c r="K421" i="1"/>
  <c r="K309" i="1"/>
  <c r="K448" i="1"/>
  <c r="K449" i="1"/>
  <c r="K452" i="1"/>
  <c r="K453" i="1"/>
  <c r="K390" i="1"/>
  <c r="K219" i="1"/>
  <c r="K411" i="1"/>
  <c r="K495" i="1"/>
  <c r="K496" i="1"/>
  <c r="K497" i="1"/>
  <c r="K512" i="1"/>
  <c r="K513" i="1"/>
  <c r="K514" i="1"/>
  <c r="K515" i="1"/>
  <c r="K516" i="1"/>
  <c r="K517" i="1"/>
  <c r="K518" i="1"/>
  <c r="K519" i="1"/>
  <c r="K520" i="1"/>
  <c r="K501" i="1"/>
  <c r="K502" i="1"/>
  <c r="K462" i="1"/>
  <c r="K463" i="1"/>
  <c r="K272" i="1"/>
  <c r="K289" i="1"/>
  <c r="K248" i="1"/>
  <c r="K249" i="1"/>
  <c r="K407" i="1"/>
  <c r="K191" i="1"/>
  <c r="K483" i="1"/>
  <c r="K484" i="1"/>
  <c r="K485" i="1"/>
  <c r="K225" i="1"/>
  <c r="K151" i="1"/>
  <c r="K372" i="1"/>
  <c r="K373" i="1"/>
  <c r="K374" i="1"/>
  <c r="K375" i="1"/>
  <c r="K367" i="1"/>
  <c r="K312" i="1"/>
  <c r="K313" i="1"/>
  <c r="K182" i="1"/>
  <c r="K478" i="1"/>
  <c r="K416" i="1"/>
  <c r="K568" i="1"/>
  <c r="K569" i="1"/>
  <c r="K556" i="1"/>
  <c r="K557" i="1"/>
  <c r="K542" i="1"/>
  <c r="K464" i="1"/>
  <c r="K281" i="1"/>
  <c r="K468" i="1"/>
  <c r="K258" i="1"/>
  <c r="K376" i="1"/>
  <c r="K242" i="1"/>
  <c r="K327" i="1"/>
  <c r="K356" i="1"/>
  <c r="K417" i="1"/>
  <c r="K307" i="1"/>
  <c r="K270" i="1"/>
  <c r="K324" i="1"/>
  <c r="K274" i="1"/>
  <c r="K338" i="1"/>
  <c r="K545" i="1"/>
  <c r="K558" i="1"/>
  <c r="K314" i="1"/>
  <c r="K465" i="1"/>
  <c r="K391" i="1"/>
  <c r="K450" i="1"/>
  <c r="K438" i="1"/>
  <c r="K604" i="1"/>
  <c r="K331" i="1"/>
  <c r="K460" i="1"/>
  <c r="K259" i="1"/>
  <c r="K531" i="1"/>
  <c r="K532" i="1"/>
  <c r="K533" i="1"/>
  <c r="K471" i="1"/>
  <c r="K472" i="1"/>
  <c r="K414" i="1"/>
  <c r="K586" i="1"/>
  <c r="K587" i="1"/>
  <c r="K588" i="1"/>
  <c r="K589" i="1"/>
  <c r="K370" i="1"/>
  <c r="K571" i="1"/>
  <c r="K572" i="1"/>
  <c r="K573" i="1"/>
  <c r="K334" i="1"/>
  <c r="K335" i="1"/>
  <c r="K352" i="1"/>
  <c r="K611" i="1"/>
  <c r="K612" i="1"/>
  <c r="K537" i="1"/>
  <c r="K538" i="1"/>
  <c r="K503" i="1"/>
  <c r="K282" i="1"/>
  <c r="K359" i="1"/>
  <c r="K551" i="1"/>
  <c r="K552" i="1"/>
  <c r="K507" i="1"/>
  <c r="K563" i="1"/>
  <c r="K540" i="1"/>
  <c r="K549" i="1"/>
  <c r="K364" i="1"/>
  <c r="K535" i="1"/>
  <c r="K469" i="1"/>
  <c r="K402" i="1"/>
  <c r="K379" i="1"/>
  <c r="K473" i="1"/>
  <c r="K436" i="1"/>
  <c r="K559" i="1"/>
  <c r="K432" i="1"/>
  <c r="K509" i="1"/>
  <c r="K360" i="1"/>
  <c r="K365" i="1"/>
  <c r="K380" i="1"/>
  <c r="K646" i="1"/>
  <c r="K527" i="1"/>
  <c r="K466" i="1"/>
  <c r="K284" i="1"/>
  <c r="K357" i="1"/>
  <c r="K616" i="1"/>
  <c r="K617" i="1"/>
  <c r="K583" i="1"/>
  <c r="K381" i="1"/>
  <c r="K605" i="1"/>
  <c r="K606" i="1"/>
  <c r="K577" i="1"/>
  <c r="K578" i="1"/>
  <c r="K579" i="1"/>
  <c r="K661" i="1"/>
  <c r="K498" i="1"/>
  <c r="K499" i="1"/>
  <c r="K600" i="1"/>
  <c r="K546" i="1"/>
  <c r="K637" i="1"/>
  <c r="K638" i="1"/>
  <c r="K595" i="1"/>
  <c r="K596" i="1"/>
  <c r="K619" i="1"/>
  <c r="K620" i="1"/>
  <c r="K504" i="1"/>
  <c r="K505" i="1"/>
  <c r="K639" i="1"/>
  <c r="K640" i="1"/>
  <c r="K641" i="1"/>
  <c r="K642" i="1"/>
  <c r="K643" i="1"/>
  <c r="K553" i="1"/>
  <c r="K454" i="1"/>
  <c r="K598" i="1"/>
  <c r="K561" i="1"/>
  <c r="K635" i="1"/>
  <c r="K590" i="1"/>
  <c r="K566" i="1"/>
  <c r="K663" i="1"/>
  <c r="K664" i="1"/>
  <c r="K665" i="1"/>
  <c r="K607" i="1"/>
  <c r="K673" i="1"/>
  <c r="K674" i="1"/>
  <c r="K652" i="1"/>
  <c r="K653" i="1"/>
  <c r="K654" i="1"/>
  <c r="K685" i="1"/>
  <c r="K686" i="1"/>
  <c r="K687" i="1"/>
  <c r="K688" i="1"/>
  <c r="K404" i="1"/>
  <c r="K592" i="1"/>
  <c r="K584" i="1"/>
  <c r="K554" i="1"/>
  <c r="K704" i="1"/>
  <c r="K689" i="1"/>
  <c r="K681" i="1"/>
  <c r="K682" i="1"/>
  <c r="K602" i="1"/>
  <c r="K677" i="1"/>
  <c r="K678" i="1"/>
  <c r="K632" i="1"/>
  <c r="K633" i="1"/>
  <c r="K626" i="1"/>
  <c r="K698" i="1"/>
  <c r="K699" i="1"/>
  <c r="K613" i="1"/>
  <c r="K702" i="1"/>
  <c r="K593" i="1"/>
  <c r="K693" i="1"/>
  <c r="K658" i="1"/>
  <c r="K648" i="1"/>
  <c r="K649" i="1"/>
  <c r="K624" i="1"/>
  <c r="K666" i="1"/>
  <c r="K694" i="1"/>
  <c r="K709" i="1"/>
  <c r="K695" i="1"/>
  <c r="K715" i="1"/>
  <c r="K716" i="1"/>
  <c r="K644" i="1"/>
  <c r="K707" i="1"/>
  <c r="K705" i="1"/>
  <c r="K659" i="1"/>
  <c r="K717" i="1"/>
  <c r="K718" i="1"/>
  <c r="K721" i="1"/>
  <c r="K679" i="1"/>
  <c r="K675" i="1"/>
  <c r="K710" i="1"/>
  <c r="K711" i="1"/>
  <c r="K712" i="1"/>
  <c r="K729" i="1"/>
  <c r="K713" i="1"/>
  <c r="K726" i="1"/>
  <c r="K736" i="1"/>
  <c r="K732" i="1"/>
  <c r="K290" i="1"/>
  <c r="K733" i="1"/>
  <c r="K737" i="1"/>
  <c r="K743" i="1"/>
  <c r="K747" i="1"/>
  <c r="K76" i="1"/>
  <c r="K172" i="1"/>
  <c r="K173" i="1"/>
  <c r="K174" i="1"/>
  <c r="K131" i="1"/>
  <c r="K132" i="1"/>
  <c r="K55" i="1"/>
  <c r="K56" i="1"/>
  <c r="K57" i="1"/>
  <c r="K18" i="1"/>
  <c r="K19" i="1"/>
  <c r="K288" i="1"/>
  <c r="K119" i="1"/>
  <c r="K264" i="1"/>
  <c r="K265" i="1"/>
  <c r="K83" i="1"/>
  <c r="K143" i="1"/>
  <c r="K144" i="1"/>
  <c r="K156" i="1"/>
  <c r="K198" i="1"/>
  <c r="K199" i="1"/>
  <c r="K133" i="1"/>
  <c r="K134" i="1"/>
  <c r="K246" i="1"/>
  <c r="K50" i="1"/>
  <c r="K202" i="1"/>
  <c r="K84" i="1"/>
  <c r="K89" i="1"/>
  <c r="K298" i="1"/>
  <c r="K183" i="1"/>
  <c r="K251" i="1"/>
  <c r="K252" i="1"/>
  <c r="K253" i="1"/>
  <c r="K254" i="1"/>
  <c r="K159" i="1"/>
  <c r="K160" i="1"/>
  <c r="K161" i="1"/>
  <c r="K162" i="1"/>
  <c r="K85" i="1"/>
  <c r="K203" i="1"/>
  <c r="K204" i="1"/>
  <c r="K226" i="1"/>
  <c r="K305" i="1"/>
  <c r="K222" i="1"/>
  <c r="K223" i="1"/>
  <c r="K200" i="1"/>
  <c r="K102" i="1"/>
  <c r="K291" i="1"/>
  <c r="K230" i="1"/>
  <c r="K86" i="1"/>
  <c r="K31" i="1"/>
  <c r="K214" i="1"/>
  <c r="K125" i="1"/>
  <c r="K317" i="1"/>
  <c r="K166" i="1"/>
  <c r="K145" i="1"/>
  <c r="K299" i="1"/>
  <c r="K300" i="1"/>
  <c r="K368" i="1"/>
  <c r="K260" i="1"/>
  <c r="K215" i="1"/>
  <c r="K189" i="1"/>
  <c r="K190" i="1"/>
  <c r="K90" i="1"/>
  <c r="K152" i="1"/>
  <c r="K218" i="1"/>
  <c r="K216" i="1"/>
  <c r="K389" i="1"/>
  <c r="K77" i="1"/>
  <c r="K283" i="1"/>
  <c r="K344" i="1"/>
  <c r="K208" i="1"/>
  <c r="K157" i="1"/>
  <c r="K79" i="1"/>
  <c r="K116" i="1"/>
  <c r="K306" i="1"/>
  <c r="K461" i="1"/>
  <c r="K153" i="1"/>
  <c r="K277" i="1"/>
  <c r="K135" i="1"/>
  <c r="K318" i="1"/>
  <c r="K353" i="1"/>
  <c r="K285" i="1"/>
  <c r="K140" i="1"/>
  <c r="K138" i="1"/>
  <c r="K408" i="1"/>
  <c r="K120" i="1"/>
  <c r="K170" i="1"/>
  <c r="K418" i="1"/>
  <c r="K419" i="1"/>
  <c r="K420" i="1"/>
  <c r="K350" i="1"/>
  <c r="K351" i="1"/>
  <c r="K58" i="1"/>
  <c r="K180" i="1"/>
  <c r="K339" i="1"/>
  <c r="K340" i="1"/>
  <c r="K345" i="1"/>
  <c r="K336" i="1"/>
  <c r="K328" i="1"/>
  <c r="K175" i="1"/>
  <c r="K176" i="1"/>
  <c r="K192" i="1"/>
  <c r="K193" i="1"/>
  <c r="K231" i="1"/>
  <c r="K232" i="1"/>
  <c r="K424" i="1"/>
  <c r="K308" i="1"/>
  <c r="K209" i="1"/>
  <c r="K128" i="1"/>
  <c r="K220" i="1"/>
  <c r="K371" i="1"/>
  <c r="K294" i="1"/>
  <c r="K247" i="1"/>
  <c r="K361" i="1"/>
  <c r="K362" i="1"/>
  <c r="K194" i="1"/>
  <c r="K273" i="1"/>
  <c r="K455" i="1"/>
  <c r="K181" i="1"/>
  <c r="K325" i="1"/>
  <c r="K326" i="1"/>
  <c r="K168" i="1"/>
  <c r="K237" i="1"/>
  <c r="K238" i="1"/>
  <c r="K210" i="1"/>
  <c r="K382" i="1"/>
  <c r="K521" i="1"/>
  <c r="K522" i="1"/>
  <c r="K439" i="1"/>
  <c r="K342" i="1"/>
  <c r="K486" i="1"/>
  <c r="K184" i="1"/>
  <c r="K185" i="1"/>
  <c r="K275" i="1"/>
  <c r="K32" i="1"/>
  <c r="K20" i="1"/>
  <c r="K195" i="1"/>
  <c r="K487" i="1"/>
  <c r="K488" i="1"/>
  <c r="K489" i="1"/>
  <c r="K490" i="1"/>
  <c r="K491" i="1"/>
  <c r="K492" i="1"/>
  <c r="K493" i="1"/>
  <c r="K412" i="1"/>
  <c r="K240" i="1"/>
  <c r="K241" i="1"/>
  <c r="K451" i="1"/>
  <c r="K433" i="1"/>
  <c r="K434" i="1"/>
  <c r="K536" i="1"/>
  <c r="K528" i="1"/>
  <c r="K529" i="1"/>
  <c r="K530" i="1"/>
  <c r="K474" i="1"/>
  <c r="K475" i="1"/>
  <c r="K385" i="1"/>
  <c r="K444" i="1"/>
  <c r="K477" i="1"/>
  <c r="K467" i="1"/>
  <c r="K479" i="1"/>
  <c r="K480" i="1"/>
  <c r="K481" i="1"/>
  <c r="K482" i="1"/>
  <c r="K286" i="1"/>
  <c r="K494" i="1"/>
  <c r="K430" i="1"/>
  <c r="K431" i="1"/>
  <c r="K355" i="1"/>
  <c r="K377" i="1"/>
  <c r="K435" i="1"/>
  <c r="K405" i="1"/>
  <c r="K543" i="1"/>
  <c r="K526" i="1"/>
  <c r="K363" i="1"/>
  <c r="K295" i="1"/>
  <c r="K564" i="1"/>
  <c r="K366" i="1"/>
  <c r="K403" i="1"/>
  <c r="K567" i="1"/>
  <c r="K560" i="1"/>
  <c r="K456" i="1"/>
  <c r="K329" i="1"/>
  <c r="K292" i="1"/>
  <c r="K597" i="1"/>
  <c r="K332" i="1"/>
  <c r="K321" i="1"/>
  <c r="K322" i="1"/>
  <c r="K627" i="1"/>
  <c r="K628" i="1"/>
  <c r="K629" i="1"/>
  <c r="K630" i="1"/>
  <c r="K541" i="1"/>
  <c r="K333" i="1"/>
  <c r="K386" i="1"/>
  <c r="K358" i="1"/>
  <c r="K271" i="1"/>
  <c r="K614" i="1"/>
  <c r="K615" i="1"/>
  <c r="K401" i="1"/>
  <c r="K422" i="1"/>
  <c r="K562" i="1"/>
  <c r="K315" i="1"/>
  <c r="K523" i="1"/>
  <c r="K510" i="1"/>
  <c r="K550" i="1"/>
  <c r="K337" i="1"/>
  <c r="K580" i="1"/>
  <c r="K581" i="1"/>
  <c r="K582" i="1"/>
  <c r="K534" i="1"/>
  <c r="K415" i="1"/>
  <c r="K310" i="1"/>
  <c r="K398" i="1"/>
  <c r="K574" i="1"/>
  <c r="K506" i="1"/>
  <c r="K500" i="1"/>
  <c r="K660" i="1"/>
  <c r="K608" i="1"/>
  <c r="K392" i="1"/>
  <c r="K621" i="1"/>
  <c r="K622" i="1"/>
  <c r="K647" i="1"/>
  <c r="K555" i="1"/>
  <c r="K585" i="1"/>
  <c r="K650" i="1"/>
  <c r="K651" i="1"/>
  <c r="K565" i="1"/>
  <c r="K547" i="1"/>
  <c r="K548" i="1"/>
  <c r="K511" i="1"/>
  <c r="K601" i="1"/>
  <c r="K393" i="1"/>
  <c r="K575" i="1"/>
  <c r="K576" i="1"/>
  <c r="K623" i="1"/>
  <c r="K618" i="1"/>
  <c r="K631" i="1"/>
  <c r="K609" i="1"/>
  <c r="K610" i="1"/>
  <c r="K662" i="1"/>
  <c r="K508" i="1"/>
  <c r="K667" i="1"/>
  <c r="K591" i="1"/>
  <c r="K668" i="1"/>
  <c r="K669" i="1"/>
  <c r="K670" i="1"/>
  <c r="K470" i="1"/>
  <c r="K539" i="1"/>
  <c r="K645" i="1"/>
  <c r="K544" i="1"/>
  <c r="K655" i="1"/>
  <c r="K656" i="1"/>
  <c r="K625" i="1"/>
  <c r="K671" i="1"/>
  <c r="K672" i="1"/>
  <c r="K599" i="1"/>
  <c r="K594" i="1"/>
  <c r="K683" i="1"/>
  <c r="K636" i="1"/>
  <c r="K603" i="1"/>
  <c r="K570" i="1"/>
  <c r="K684" i="1"/>
  <c r="K690" i="1"/>
  <c r="K691" i="1"/>
  <c r="K657" i="1"/>
  <c r="K703" i="1"/>
  <c r="K680" i="1"/>
  <c r="K706" i="1"/>
  <c r="K387" i="1"/>
  <c r="K744" i="1"/>
  <c r="K708" i="1"/>
  <c r="K634" i="1"/>
  <c r="K676" i="1"/>
  <c r="K696" i="1"/>
  <c r="K697" i="1"/>
  <c r="L747" i="1"/>
  <c r="L746" i="1"/>
  <c r="L745" i="1"/>
  <c r="L744" i="1"/>
  <c r="L743" i="1"/>
  <c r="K739" i="1"/>
  <c r="K742" i="1"/>
  <c r="L742" i="1"/>
  <c r="L741" i="1"/>
  <c r="L740" i="1"/>
  <c r="L739" i="1"/>
  <c r="L738" i="1"/>
  <c r="L737" i="1"/>
  <c r="K734" i="1"/>
  <c r="L736" i="1"/>
  <c r="L735" i="1"/>
  <c r="L734" i="1"/>
  <c r="L733" i="1"/>
  <c r="K730" i="1"/>
  <c r="L732" i="1"/>
  <c r="L731" i="1"/>
  <c r="L730" i="1"/>
  <c r="L729" i="1"/>
  <c r="L728" i="1"/>
  <c r="K722" i="1"/>
  <c r="K724" i="1"/>
  <c r="K725" i="1"/>
  <c r="K727" i="1"/>
  <c r="L727" i="1"/>
  <c r="L726" i="1"/>
  <c r="L725" i="1"/>
  <c r="L724" i="1"/>
  <c r="L723" i="1"/>
  <c r="L722" i="1"/>
  <c r="L721" i="1"/>
  <c r="L720" i="1"/>
  <c r="K719" i="1"/>
  <c r="L719" i="1"/>
  <c r="L718" i="1"/>
  <c r="L717" i="1"/>
  <c r="L716" i="1"/>
  <c r="L715" i="1"/>
  <c r="L714" i="1"/>
  <c r="L713" i="1"/>
  <c r="L712" i="1"/>
  <c r="L711" i="1"/>
  <c r="L710" i="1"/>
  <c r="K692" i="1"/>
  <c r="K700" i="1"/>
  <c r="K701" i="1"/>
  <c r="L709" i="1"/>
  <c r="L708" i="1"/>
  <c r="L707" i="1"/>
  <c r="L706" i="1"/>
  <c r="L705" i="1"/>
  <c r="L704" i="1"/>
  <c r="L703" i="1"/>
  <c r="L702" i="1"/>
  <c r="L701" i="1"/>
  <c r="L700" i="1"/>
  <c r="L699" i="1"/>
  <c r="L698" i="1"/>
  <c r="L697" i="1"/>
  <c r="L696" i="1"/>
  <c r="L695" i="1"/>
  <c r="L694" i="1"/>
  <c r="L693" i="1"/>
  <c r="L692" i="1"/>
  <c r="L691" i="1"/>
  <c r="L690" i="1"/>
  <c r="L689" i="1"/>
  <c r="L688" i="1"/>
  <c r="L687" i="1"/>
  <c r="L686" i="1"/>
  <c r="L685" i="1"/>
  <c r="L684" i="1"/>
  <c r="L683" i="1"/>
  <c r="L682" i="1"/>
  <c r="L681" i="1"/>
  <c r="L680" i="1"/>
  <c r="L679" i="1"/>
  <c r="L678" i="1"/>
  <c r="L677" i="1"/>
  <c r="L676" i="1"/>
  <c r="L675" i="1"/>
  <c r="L674" i="1"/>
  <c r="L673" i="1"/>
  <c r="L672" i="1"/>
  <c r="L671" i="1"/>
  <c r="L670" i="1"/>
  <c r="L669" i="1"/>
  <c r="L668" i="1"/>
  <c r="L667" i="1"/>
  <c r="L666" i="1"/>
  <c r="L665" i="1"/>
  <c r="L664" i="1"/>
  <c r="L663" i="1"/>
  <c r="L662" i="1"/>
  <c r="L661" i="1"/>
  <c r="L660" i="1"/>
  <c r="L659" i="1"/>
  <c r="L658" i="1"/>
  <c r="L657" i="1"/>
  <c r="L656" i="1"/>
  <c r="L655" i="1"/>
  <c r="L654" i="1"/>
  <c r="L653" i="1"/>
  <c r="L652" i="1"/>
  <c r="L651" i="1"/>
  <c r="L650" i="1"/>
  <c r="L649" i="1"/>
  <c r="L648" i="1"/>
  <c r="L647" i="1"/>
  <c r="L646" i="1"/>
  <c r="L645" i="1"/>
  <c r="L644" i="1"/>
  <c r="L643" i="1"/>
  <c r="L642" i="1"/>
  <c r="L641" i="1"/>
  <c r="L640" i="1"/>
  <c r="L639" i="1"/>
  <c r="L638" i="1"/>
  <c r="L637" i="1"/>
  <c r="L636" i="1"/>
  <c r="L635" i="1"/>
  <c r="L634" i="1"/>
  <c r="L633" i="1"/>
  <c r="L632" i="1"/>
  <c r="L631" i="1"/>
  <c r="L630" i="1"/>
  <c r="L629" i="1"/>
  <c r="L628" i="1"/>
  <c r="L627" i="1"/>
  <c r="L626" i="1"/>
  <c r="L625" i="1"/>
  <c r="L624" i="1"/>
  <c r="L623" i="1"/>
  <c r="L622" i="1"/>
  <c r="L621" i="1"/>
  <c r="L620" i="1"/>
  <c r="L619" i="1"/>
  <c r="L618" i="1"/>
  <c r="L617" i="1"/>
  <c r="L616" i="1"/>
  <c r="L615" i="1"/>
  <c r="L614" i="1"/>
  <c r="L613" i="1"/>
  <c r="L612" i="1"/>
  <c r="L611" i="1"/>
  <c r="L610" i="1"/>
  <c r="L609" i="1"/>
  <c r="L608" i="1"/>
  <c r="L607" i="1"/>
  <c r="L606" i="1"/>
  <c r="L605" i="1"/>
  <c r="L604" i="1"/>
  <c r="L603" i="1"/>
  <c r="L602" i="1"/>
  <c r="L601" i="1"/>
  <c r="L600" i="1"/>
  <c r="L599" i="1"/>
  <c r="L598" i="1"/>
  <c r="L597" i="1"/>
  <c r="L596" i="1"/>
  <c r="L595" i="1"/>
  <c r="L594" i="1"/>
  <c r="L593" i="1"/>
  <c r="L592" i="1"/>
  <c r="L591" i="1"/>
  <c r="L590" i="1"/>
  <c r="L589" i="1"/>
  <c r="L588" i="1"/>
  <c r="L587" i="1"/>
  <c r="L586" i="1"/>
  <c r="L585" i="1"/>
  <c r="L584" i="1"/>
  <c r="L583" i="1"/>
  <c r="L582" i="1"/>
  <c r="L581" i="1"/>
  <c r="L580" i="1"/>
  <c r="L579" i="1"/>
  <c r="L578" i="1"/>
  <c r="L577" i="1"/>
  <c r="L576" i="1"/>
  <c r="L575" i="1"/>
  <c r="L574" i="1"/>
  <c r="L573" i="1"/>
  <c r="L572" i="1"/>
  <c r="L571" i="1"/>
  <c r="L570" i="1"/>
  <c r="L569" i="1"/>
  <c r="L568" i="1"/>
  <c r="L567" i="1"/>
  <c r="L566" i="1"/>
  <c r="L565" i="1"/>
  <c r="L564" i="1"/>
  <c r="L563" i="1"/>
  <c r="L562" i="1"/>
  <c r="L561" i="1"/>
  <c r="L560" i="1"/>
  <c r="L559" i="1"/>
  <c r="L558" i="1"/>
  <c r="L557" i="1"/>
  <c r="L556" i="1"/>
  <c r="L555" i="1"/>
  <c r="L554" i="1"/>
  <c r="L553" i="1"/>
  <c r="L552" i="1"/>
  <c r="L551" i="1"/>
  <c r="L550" i="1"/>
  <c r="L549" i="1"/>
  <c r="L548" i="1"/>
  <c r="L547" i="1"/>
  <c r="L546" i="1"/>
  <c r="L545" i="1"/>
  <c r="L544" i="1"/>
  <c r="L543" i="1"/>
  <c r="L542" i="1"/>
  <c r="L541" i="1"/>
  <c r="L540" i="1"/>
  <c r="L539" i="1"/>
  <c r="L538" i="1"/>
  <c r="L537" i="1"/>
  <c r="L536" i="1"/>
  <c r="L535" i="1"/>
  <c r="L534" i="1"/>
  <c r="L533" i="1"/>
  <c r="L532" i="1"/>
  <c r="L531" i="1"/>
  <c r="L530" i="1"/>
  <c r="L529" i="1"/>
  <c r="L528" i="1"/>
  <c r="L527" i="1"/>
  <c r="L526" i="1"/>
  <c r="L525" i="1"/>
  <c r="L524" i="1"/>
  <c r="L523" i="1"/>
  <c r="L522" i="1"/>
  <c r="L521" i="1"/>
  <c r="L520" i="1"/>
  <c r="L519" i="1"/>
  <c r="L518" i="1"/>
  <c r="L517" i="1"/>
  <c r="L516" i="1"/>
  <c r="L515" i="1"/>
  <c r="L514" i="1"/>
  <c r="L513" i="1"/>
  <c r="L512" i="1"/>
  <c r="L511" i="1"/>
  <c r="L510" i="1"/>
  <c r="L509" i="1"/>
  <c r="L508" i="1"/>
  <c r="L507" i="1"/>
  <c r="L506" i="1"/>
  <c r="L505" i="1"/>
  <c r="L504" i="1"/>
  <c r="L503" i="1"/>
  <c r="L502" i="1"/>
  <c r="L501" i="1"/>
  <c r="L500" i="1"/>
  <c r="L499" i="1"/>
  <c r="L498" i="1"/>
  <c r="L497" i="1"/>
  <c r="L496" i="1"/>
  <c r="L495" i="1"/>
  <c r="L494" i="1"/>
  <c r="L493" i="1"/>
  <c r="L492" i="1"/>
  <c r="L491" i="1"/>
  <c r="L490" i="1"/>
  <c r="L489" i="1"/>
  <c r="L488" i="1"/>
  <c r="L487" i="1"/>
  <c r="L486" i="1"/>
  <c r="L485" i="1"/>
  <c r="L484" i="1"/>
  <c r="L483" i="1"/>
  <c r="L482" i="1"/>
  <c r="L481" i="1"/>
  <c r="L480" i="1"/>
  <c r="L479" i="1"/>
  <c r="L478" i="1"/>
  <c r="L477" i="1"/>
  <c r="L476" i="1"/>
  <c r="L475" i="1"/>
  <c r="L474" i="1"/>
  <c r="L473" i="1"/>
  <c r="L472" i="1"/>
  <c r="L471" i="1"/>
  <c r="L470" i="1"/>
  <c r="L469" i="1"/>
  <c r="L468" i="1"/>
  <c r="L467" i="1"/>
  <c r="L466" i="1"/>
  <c r="L465" i="1"/>
  <c r="L464" i="1"/>
  <c r="L463" i="1"/>
  <c r="L462" i="1"/>
  <c r="L461" i="1"/>
  <c r="L460" i="1"/>
  <c r="L459" i="1"/>
  <c r="L458" i="1"/>
  <c r="L457" i="1"/>
  <c r="L456" i="1"/>
  <c r="L455" i="1"/>
  <c r="L454" i="1"/>
  <c r="L453" i="1"/>
  <c r="L452" i="1"/>
  <c r="L451" i="1"/>
  <c r="L450" i="1"/>
  <c r="L449" i="1"/>
  <c r="L448" i="1"/>
  <c r="L447" i="1"/>
  <c r="L446" i="1"/>
  <c r="L445" i="1"/>
  <c r="L444" i="1"/>
  <c r="L443" i="1"/>
  <c r="L442" i="1"/>
  <c r="L441" i="1"/>
  <c r="L440" i="1"/>
  <c r="L439" i="1"/>
  <c r="L438" i="1"/>
  <c r="L437" i="1"/>
  <c r="L436" i="1"/>
  <c r="L435" i="1"/>
  <c r="L434" i="1"/>
  <c r="L433" i="1"/>
  <c r="L432" i="1"/>
  <c r="L431" i="1"/>
  <c r="L430" i="1"/>
  <c r="L429" i="1"/>
  <c r="L428" i="1"/>
  <c r="L427" i="1"/>
  <c r="L426" i="1"/>
  <c r="L425" i="1"/>
  <c r="L424" i="1"/>
  <c r="L423" i="1"/>
  <c r="L422" i="1"/>
  <c r="L421" i="1"/>
  <c r="L420" i="1"/>
  <c r="L419" i="1"/>
  <c r="L418" i="1"/>
  <c r="L417" i="1"/>
  <c r="L416" i="1"/>
  <c r="L415" i="1"/>
  <c r="L414" i="1"/>
  <c r="L413" i="1"/>
  <c r="L412" i="1"/>
  <c r="L411" i="1"/>
  <c r="L410" i="1"/>
  <c r="L409" i="1"/>
  <c r="L408" i="1"/>
  <c r="L407" i="1"/>
  <c r="L406" i="1"/>
  <c r="L405" i="1"/>
  <c r="L404" i="1"/>
  <c r="L403" i="1"/>
  <c r="L402" i="1"/>
  <c r="L401" i="1"/>
  <c r="L400" i="1"/>
  <c r="L399" i="1"/>
  <c r="L398" i="1"/>
  <c r="L397" i="1"/>
  <c r="L396" i="1"/>
  <c r="L395" i="1"/>
  <c r="L394" i="1"/>
  <c r="L393" i="1"/>
  <c r="L392" i="1"/>
  <c r="L391" i="1"/>
  <c r="L390" i="1"/>
  <c r="L389" i="1"/>
  <c r="L388" i="1"/>
  <c r="L387" i="1"/>
  <c r="L386" i="1"/>
  <c r="L385" i="1"/>
  <c r="L384" i="1"/>
  <c r="L383" i="1"/>
  <c r="L382" i="1"/>
  <c r="L381" i="1"/>
  <c r="L380" i="1"/>
  <c r="L379" i="1"/>
  <c r="L378" i="1"/>
  <c r="L377" i="1"/>
  <c r="L376" i="1"/>
  <c r="L375" i="1"/>
  <c r="L374" i="1"/>
  <c r="L373" i="1"/>
  <c r="L372" i="1"/>
  <c r="L371" i="1"/>
  <c r="L370" i="1"/>
  <c r="L369" i="1"/>
  <c r="L368" i="1"/>
  <c r="L367" i="1"/>
  <c r="L366" i="1"/>
  <c r="L365" i="1"/>
  <c r="L364" i="1"/>
  <c r="L363" i="1"/>
  <c r="L362" i="1"/>
  <c r="L361" i="1"/>
  <c r="L360" i="1"/>
  <c r="L359" i="1"/>
  <c r="L358" i="1"/>
  <c r="L357" i="1"/>
  <c r="L356" i="1"/>
  <c r="L355" i="1"/>
  <c r="L354" i="1"/>
  <c r="L353" i="1"/>
  <c r="L352" i="1"/>
  <c r="L351" i="1"/>
  <c r="L350" i="1"/>
  <c r="L349" i="1"/>
  <c r="L348" i="1"/>
  <c r="L347" i="1"/>
  <c r="L346" i="1"/>
  <c r="L345" i="1"/>
  <c r="L344" i="1"/>
  <c r="L343" i="1"/>
  <c r="L342" i="1"/>
  <c r="L341" i="1"/>
  <c r="L340" i="1"/>
  <c r="L339" i="1"/>
  <c r="L338" i="1"/>
  <c r="L337" i="1"/>
  <c r="L336" i="1"/>
  <c r="L335" i="1"/>
  <c r="L334" i="1"/>
  <c r="L333" i="1"/>
  <c r="L332" i="1"/>
  <c r="L331" i="1"/>
  <c r="L330" i="1"/>
  <c r="L329" i="1"/>
  <c r="L328" i="1"/>
  <c r="L327" i="1"/>
  <c r="L326" i="1"/>
  <c r="L325" i="1"/>
  <c r="L324" i="1"/>
  <c r="L323" i="1"/>
  <c r="L322" i="1"/>
  <c r="L321" i="1"/>
  <c r="L320" i="1"/>
  <c r="L319" i="1"/>
  <c r="L318" i="1"/>
  <c r="L317" i="1"/>
  <c r="L316" i="1"/>
  <c r="L315" i="1"/>
  <c r="L314" i="1"/>
  <c r="L313" i="1"/>
  <c r="L312" i="1"/>
  <c r="L311" i="1"/>
  <c r="L310" i="1"/>
  <c r="L309" i="1"/>
  <c r="L308" i="1"/>
  <c r="L307" i="1"/>
  <c r="L306" i="1"/>
  <c r="L305" i="1"/>
  <c r="L304" i="1"/>
  <c r="L303" i="1"/>
  <c r="L302" i="1"/>
  <c r="L301" i="1"/>
  <c r="L300" i="1"/>
  <c r="L299" i="1"/>
  <c r="L298" i="1"/>
  <c r="L297" i="1"/>
  <c r="L296" i="1"/>
  <c r="L295" i="1"/>
  <c r="L294" i="1"/>
  <c r="L293" i="1"/>
  <c r="L292" i="1"/>
  <c r="L291" i="1"/>
  <c r="L290" i="1"/>
  <c r="L289" i="1"/>
  <c r="L288" i="1"/>
  <c r="L287" i="1"/>
  <c r="L286" i="1"/>
  <c r="L285" i="1"/>
  <c r="L284" i="1"/>
  <c r="L283" i="1"/>
  <c r="L282" i="1"/>
  <c r="L281" i="1"/>
  <c r="L280" i="1"/>
  <c r="L279" i="1"/>
  <c r="L278" i="1"/>
  <c r="L277" i="1"/>
  <c r="L276" i="1"/>
  <c r="L275" i="1"/>
  <c r="L274" i="1"/>
  <c r="L273" i="1"/>
  <c r="L272" i="1"/>
  <c r="L271" i="1"/>
  <c r="L270" i="1"/>
  <c r="L269" i="1"/>
  <c r="L268" i="1"/>
  <c r="L267" i="1"/>
  <c r="L266" i="1"/>
  <c r="L265" i="1"/>
  <c r="L264" i="1"/>
  <c r="L263" i="1"/>
  <c r="L262" i="1"/>
  <c r="L261" i="1"/>
  <c r="L260" i="1"/>
  <c r="L259" i="1"/>
  <c r="L258" i="1"/>
  <c r="L257" i="1"/>
  <c r="L256" i="1"/>
  <c r="L255" i="1"/>
  <c r="L254" i="1"/>
  <c r="L253" i="1"/>
  <c r="L252" i="1"/>
  <c r="L251" i="1"/>
  <c r="L250" i="1"/>
  <c r="L249" i="1"/>
  <c r="L248" i="1"/>
  <c r="L247" i="1"/>
  <c r="L246" i="1"/>
  <c r="L245" i="1"/>
  <c r="L244" i="1"/>
  <c r="L243" i="1"/>
  <c r="L242" i="1"/>
  <c r="L241" i="1"/>
  <c r="L240" i="1"/>
  <c r="L239" i="1"/>
  <c r="L238" i="1"/>
  <c r="L237" i="1"/>
  <c r="L236" i="1"/>
  <c r="L235" i="1"/>
  <c r="L234" i="1"/>
  <c r="L233" i="1"/>
  <c r="L232" i="1"/>
  <c r="L231" i="1"/>
  <c r="L230" i="1"/>
  <c r="L229" i="1"/>
  <c r="L228" i="1"/>
  <c r="L227" i="1"/>
  <c r="L226" i="1"/>
  <c r="L225" i="1"/>
  <c r="L224" i="1"/>
  <c r="L223" i="1"/>
  <c r="L222" i="1"/>
  <c r="L221" i="1"/>
  <c r="L220" i="1"/>
  <c r="L219" i="1"/>
  <c r="L218" i="1"/>
  <c r="L217" i="1"/>
  <c r="L216" i="1"/>
  <c r="L215" i="1"/>
  <c r="L214" i="1"/>
  <c r="L213" i="1"/>
  <c r="L212" i="1"/>
  <c r="L211" i="1"/>
  <c r="L210" i="1"/>
  <c r="L209" i="1"/>
  <c r="L208" i="1"/>
  <c r="L207" i="1"/>
  <c r="L206" i="1"/>
  <c r="L205" i="1"/>
  <c r="L204" i="1"/>
  <c r="L203" i="1"/>
  <c r="L202" i="1"/>
  <c r="L201" i="1"/>
  <c r="L200" i="1"/>
  <c r="L199" i="1"/>
  <c r="L198" i="1"/>
  <c r="L197" i="1"/>
  <c r="L196" i="1"/>
  <c r="L195" i="1"/>
  <c r="L194" i="1"/>
  <c r="L193" i="1"/>
  <c r="L192" i="1"/>
  <c r="L191" i="1"/>
  <c r="L190" i="1"/>
  <c r="L189" i="1"/>
  <c r="L188" i="1"/>
  <c r="L187" i="1"/>
  <c r="L186" i="1"/>
  <c r="L185" i="1"/>
  <c r="L184" i="1"/>
  <c r="L183" i="1"/>
  <c r="L182" i="1"/>
  <c r="L181" i="1"/>
  <c r="L180" i="1"/>
  <c r="L179" i="1"/>
  <c r="L178" i="1"/>
  <c r="L177" i="1"/>
  <c r="L176" i="1"/>
  <c r="L175" i="1"/>
  <c r="L174" i="1"/>
  <c r="L173" i="1"/>
  <c r="L172" i="1"/>
  <c r="L171" i="1"/>
  <c r="L170" i="1"/>
  <c r="L169" i="1"/>
  <c r="L168" i="1"/>
  <c r="L167" i="1"/>
  <c r="L166" i="1"/>
  <c r="L165" i="1"/>
  <c r="L164" i="1"/>
  <c r="L163" i="1"/>
  <c r="L162" i="1"/>
  <c r="L161" i="1"/>
  <c r="L160" i="1"/>
  <c r="L159" i="1"/>
  <c r="L158" i="1"/>
  <c r="L157" i="1"/>
  <c r="L156" i="1"/>
  <c r="L155" i="1"/>
  <c r="L154" i="1"/>
  <c r="L153" i="1"/>
  <c r="L152" i="1"/>
  <c r="L151" i="1"/>
  <c r="L150" i="1"/>
  <c r="L149" i="1"/>
  <c r="L148" i="1"/>
  <c r="L147" i="1"/>
  <c r="L146" i="1"/>
  <c r="L145" i="1"/>
  <c r="L144" i="1"/>
  <c r="L143" i="1"/>
  <c r="L142" i="1"/>
  <c r="L141" i="1"/>
  <c r="L140" i="1"/>
  <c r="L139" i="1"/>
  <c r="L138" i="1"/>
  <c r="L137" i="1"/>
  <c r="L136" i="1"/>
  <c r="L135" i="1"/>
  <c r="L134" i="1"/>
  <c r="L133" i="1"/>
  <c r="L132" i="1"/>
  <c r="L131" i="1"/>
  <c r="L130" i="1"/>
  <c r="L129" i="1"/>
  <c r="L128" i="1"/>
  <c r="L127" i="1"/>
  <c r="L126" i="1"/>
  <c r="L125" i="1"/>
  <c r="L124" i="1"/>
  <c r="L123" i="1"/>
  <c r="L122" i="1"/>
  <c r="L121" i="1"/>
  <c r="L120" i="1"/>
  <c r="L119" i="1"/>
  <c r="L118" i="1"/>
  <c r="L117" i="1"/>
  <c r="L116" i="1"/>
  <c r="L115" i="1"/>
  <c r="L114" i="1"/>
  <c r="L113" i="1"/>
  <c r="L112" i="1"/>
  <c r="L111" i="1"/>
  <c r="L110" i="1"/>
  <c r="L109" i="1"/>
  <c r="L108" i="1"/>
  <c r="L107" i="1"/>
  <c r="L106" i="1"/>
  <c r="L105" i="1"/>
  <c r="L104" i="1"/>
  <c r="L103" i="1"/>
  <c r="L102" i="1"/>
  <c r="L101" i="1"/>
  <c r="L100" i="1"/>
  <c r="L99" i="1"/>
  <c r="L98" i="1"/>
  <c r="L97" i="1"/>
  <c r="L96" i="1"/>
  <c r="L95" i="1"/>
  <c r="L94" i="1"/>
  <c r="L93" i="1"/>
  <c r="L92" i="1"/>
  <c r="L91" i="1"/>
  <c r="L90" i="1"/>
  <c r="L89" i="1"/>
  <c r="L88" i="1"/>
  <c r="L87" i="1"/>
  <c r="L86" i="1"/>
  <c r="L85" i="1"/>
  <c r="L84" i="1"/>
  <c r="L83" i="1"/>
  <c r="L82" i="1"/>
  <c r="L81" i="1"/>
  <c r="L80" i="1"/>
  <c r="L79" i="1"/>
  <c r="L78" i="1"/>
  <c r="L77" i="1"/>
  <c r="L76" i="1"/>
  <c r="L75" i="1"/>
  <c r="L74" i="1"/>
  <c r="L73" i="1"/>
  <c r="L72" i="1"/>
  <c r="L71" i="1"/>
  <c r="L70" i="1"/>
  <c r="L69" i="1"/>
  <c r="L68" i="1"/>
  <c r="L67" i="1"/>
  <c r="L66" i="1"/>
  <c r="L65" i="1"/>
  <c r="L64" i="1"/>
  <c r="L63" i="1"/>
  <c r="L62" i="1"/>
  <c r="L61" i="1"/>
  <c r="L60" i="1"/>
  <c r="L59" i="1"/>
  <c r="L58" i="1"/>
  <c r="L57" i="1"/>
  <c r="L56" i="1"/>
  <c r="L55" i="1"/>
  <c r="L54" i="1"/>
  <c r="L53" i="1"/>
  <c r="L52" i="1"/>
  <c r="L51" i="1"/>
  <c r="L50" i="1"/>
  <c r="L49" i="1"/>
  <c r="L48" i="1"/>
  <c r="L47" i="1"/>
  <c r="L46" i="1"/>
  <c r="L45" i="1"/>
  <c r="L44" i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M24" i="1"/>
  <c r="M21" i="1"/>
  <c r="M41" i="1"/>
  <c r="M290" i="1"/>
  <c r="M75" i="1"/>
  <c r="M257" i="1"/>
  <c r="M33" i="1"/>
  <c r="M139" i="1"/>
  <c r="M104" i="1"/>
  <c r="M205" i="1"/>
  <c r="M261" i="1"/>
  <c r="M269" i="1"/>
  <c r="M211" i="1"/>
  <c r="M296" i="1"/>
  <c r="M158" i="1"/>
  <c r="M217" i="1"/>
  <c r="M212" i="1"/>
  <c r="M276" i="1"/>
  <c r="M409" i="1"/>
  <c r="M87" i="1"/>
  <c r="M280" i="1"/>
  <c r="M384" i="1"/>
  <c r="M293" i="1"/>
  <c r="M443" i="1"/>
  <c r="M411" i="1"/>
  <c r="M303" i="1"/>
  <c r="M151" i="1"/>
  <c r="M425" i="1"/>
  <c r="M464" i="1"/>
  <c r="M307" i="1"/>
  <c r="M458" i="1"/>
  <c r="M465" i="1"/>
  <c r="M661" i="1"/>
  <c r="M501" i="1"/>
  <c r="M553" i="1"/>
  <c r="M747" i="1"/>
  <c r="M49" i="1"/>
  <c r="M16" i="1"/>
  <c r="M126" i="1"/>
  <c r="M154" i="1"/>
  <c r="M233" i="1"/>
  <c r="M341" i="1"/>
  <c r="M59" i="1"/>
  <c r="M388" i="1"/>
  <c r="M122" i="1"/>
  <c r="M179" i="1"/>
  <c r="M110" i="1"/>
  <c r="M137" i="1"/>
  <c r="M400" i="1"/>
  <c r="M69" i="1"/>
  <c r="M429" i="1"/>
  <c r="M129" i="1"/>
  <c r="M103" i="1"/>
  <c r="M228" i="1"/>
  <c r="M369" i="1"/>
  <c r="M323" i="1"/>
  <c r="M201" i="1"/>
  <c r="M221" i="1"/>
  <c r="M497" i="1"/>
  <c r="M272" i="1"/>
  <c r="M302" i="1"/>
  <c r="M407" i="1"/>
  <c r="M248" i="1"/>
  <c r="M225" i="1"/>
  <c r="M375" i="1"/>
  <c r="M258" i="1"/>
  <c r="M376" i="1"/>
  <c r="M356" i="1"/>
  <c r="M545" i="1"/>
  <c r="M513" i="1"/>
  <c r="M499" i="1"/>
  <c r="M638" i="1"/>
  <c r="M620" i="1"/>
  <c r="M454" i="1"/>
  <c r="M517" i="1"/>
  <c r="M723" i="1"/>
  <c r="M735" i="1"/>
  <c r="M91" i="1"/>
  <c r="M187" i="1"/>
  <c r="M60" i="1"/>
  <c r="M207" i="1"/>
  <c r="M155" i="1"/>
  <c r="M235" i="1"/>
  <c r="M188" i="1"/>
  <c r="M51" i="1"/>
  <c r="M316" i="1"/>
  <c r="M256" i="1"/>
  <c r="M206" i="1"/>
  <c r="M78" i="1"/>
  <c r="M150" i="1"/>
  <c r="M311" i="1"/>
  <c r="M121" i="1"/>
  <c r="M165" i="1"/>
  <c r="M354" i="1"/>
  <c r="M520" i="1"/>
  <c r="M289" i="1"/>
  <c r="M428" i="1"/>
  <c r="M427" i="1"/>
  <c r="M478" i="1"/>
  <c r="M557" i="1"/>
  <c r="M468" i="1"/>
  <c r="M324" i="1"/>
  <c r="M572" i="1"/>
  <c r="M546" i="1"/>
  <c r="M596" i="1"/>
  <c r="M568" i="1"/>
  <c r="M737" i="1"/>
  <c r="M146" i="1"/>
  <c r="M263" i="1"/>
  <c r="M44" i="1"/>
  <c r="M267" i="1"/>
  <c r="M117" i="1"/>
  <c r="M239" i="1"/>
  <c r="M320" i="1"/>
  <c r="M115" i="1"/>
  <c r="M171" i="1"/>
  <c r="M167" i="1"/>
  <c r="M186" i="1"/>
  <c r="M304" i="1"/>
  <c r="M142" i="1"/>
  <c r="M130" i="1"/>
  <c r="M343" i="1"/>
  <c r="M348" i="1"/>
  <c r="M219" i="1"/>
  <c r="M249" i="1"/>
  <c r="M485" i="1"/>
  <c r="M367" i="1"/>
  <c r="M182" i="1"/>
  <c r="M426" i="1"/>
  <c r="M518" i="1"/>
  <c r="M242" i="1"/>
  <c r="M516" i="1"/>
  <c r="M417" i="1"/>
  <c r="M270" i="1"/>
  <c r="M255" i="1"/>
  <c r="M314" i="1"/>
  <c r="M524" i="1"/>
  <c r="M537" i="1"/>
  <c r="M440" i="1"/>
  <c r="M643" i="1"/>
  <c r="M531" i="1"/>
  <c r="M731" i="1"/>
  <c r="M740" i="1"/>
  <c r="M733" i="1"/>
  <c r="M744" i="1"/>
  <c r="M26" i="1"/>
  <c r="M148" i="1"/>
  <c r="M136" i="1"/>
  <c r="M169" i="1"/>
  <c r="M163" i="1"/>
  <c r="M227" i="1"/>
  <c r="M287" i="1"/>
  <c r="M213" i="1"/>
  <c r="M319" i="1"/>
  <c r="M268" i="1"/>
  <c r="M229" i="1"/>
  <c r="M149" i="1"/>
  <c r="M330" i="1"/>
  <c r="M164" i="1"/>
  <c r="M476" i="1"/>
  <c r="M413" i="1"/>
  <c r="M502" i="1"/>
  <c r="M301" i="1"/>
  <c r="M448" i="1"/>
  <c r="M279" i="1"/>
  <c r="M416" i="1"/>
  <c r="M281" i="1"/>
  <c r="M452" i="1"/>
  <c r="M327" i="1"/>
  <c r="M278" i="1"/>
  <c r="M338" i="1"/>
  <c r="M471" i="1"/>
  <c r="M595" i="1"/>
  <c r="M586" i="1"/>
  <c r="M720" i="1"/>
  <c r="M383" i="1"/>
  <c r="M378" i="1"/>
  <c r="M123" i="1"/>
  <c r="M177" i="1"/>
  <c r="M236" i="1"/>
  <c r="M447" i="1"/>
  <c r="M397" i="1"/>
  <c r="M147" i="1"/>
  <c r="M394" i="1"/>
  <c r="M459" i="1"/>
  <c r="M141" i="1"/>
  <c r="M525" i="1"/>
  <c r="M262" i="1"/>
  <c r="M224" i="1"/>
  <c r="M396" i="1"/>
  <c r="M245" i="1"/>
  <c r="M349" i="1"/>
  <c r="M127" i="1"/>
  <c r="M399" i="1"/>
  <c r="M196" i="1"/>
  <c r="M197" i="1"/>
  <c r="M410" i="1"/>
  <c r="M423" i="1"/>
  <c r="M406" i="1"/>
  <c r="M395" i="1"/>
  <c r="M421" i="1"/>
  <c r="M309" i="1"/>
  <c r="M449" i="1"/>
  <c r="M178" i="1"/>
  <c r="M453" i="1"/>
  <c r="M390" i="1"/>
  <c r="M346" i="1"/>
  <c r="M463" i="1"/>
  <c r="M191" i="1"/>
  <c r="M347" i="1"/>
  <c r="M313" i="1"/>
  <c r="M569" i="1"/>
  <c r="M542" i="1"/>
  <c r="M266" i="1"/>
  <c r="M512" i="1"/>
  <c r="M496" i="1"/>
  <c r="M274" i="1"/>
  <c r="M558" i="1"/>
  <c r="M391" i="1"/>
  <c r="M579" i="1"/>
  <c r="M600" i="1"/>
  <c r="M505" i="1"/>
  <c r="M728" i="1"/>
  <c r="M743" i="1"/>
  <c r="M372" i="1"/>
  <c r="M515" i="1"/>
  <c r="M450" i="1"/>
  <c r="M438" i="1"/>
  <c r="M445" i="1"/>
  <c r="M604" i="1"/>
  <c r="M331" i="1"/>
  <c r="M460" i="1"/>
  <c r="M259" i="1"/>
  <c r="M483" i="1"/>
  <c r="M533" i="1"/>
  <c r="M472" i="1"/>
  <c r="M312" i="1"/>
  <c r="M414" i="1"/>
  <c r="M532" i="1"/>
  <c r="M589" i="1"/>
  <c r="M370" i="1"/>
  <c r="M573" i="1"/>
  <c r="M234" i="1"/>
  <c r="M335" i="1"/>
  <c r="M514" i="1"/>
  <c r="M352" i="1"/>
  <c r="M612" i="1"/>
  <c r="M538" i="1"/>
  <c r="M503" i="1"/>
  <c r="M374" i="1"/>
  <c r="M571" i="1"/>
  <c r="M282" i="1"/>
  <c r="M359" i="1"/>
  <c r="M441" i="1"/>
  <c r="M552" i="1"/>
  <c r="M507" i="1"/>
  <c r="M556" i="1"/>
  <c r="M563" i="1"/>
  <c r="M540" i="1"/>
  <c r="M549" i="1"/>
  <c r="M364" i="1"/>
  <c r="M535" i="1"/>
  <c r="M373" i="1"/>
  <c r="M462" i="1"/>
  <c r="M469" i="1"/>
  <c r="M402" i="1"/>
  <c r="M334" i="1"/>
  <c r="M379" i="1"/>
  <c r="M495" i="1"/>
  <c r="M473" i="1"/>
  <c r="M436" i="1"/>
  <c r="M484" i="1"/>
  <c r="M559" i="1"/>
  <c r="M432" i="1"/>
  <c r="M551" i="1"/>
  <c r="M509" i="1"/>
  <c r="M457" i="1"/>
  <c r="M360" i="1"/>
  <c r="M365" i="1"/>
  <c r="M380" i="1"/>
  <c r="M646" i="1"/>
  <c r="M527" i="1"/>
  <c r="M466" i="1"/>
  <c r="M442" i="1"/>
  <c r="M446" i="1"/>
  <c r="M284" i="1"/>
  <c r="M357" i="1"/>
  <c r="M617" i="1"/>
  <c r="M611" i="1"/>
  <c r="M583" i="1"/>
  <c r="M381" i="1"/>
  <c r="M606" i="1"/>
  <c r="M598" i="1"/>
  <c r="M732" i="1"/>
  <c r="M498" i="1"/>
  <c r="M504" i="1"/>
  <c r="M561" i="1"/>
  <c r="M635" i="1"/>
  <c r="M590" i="1"/>
  <c r="M566" i="1"/>
  <c r="M578" i="1"/>
  <c r="M665" i="1"/>
  <c r="M619" i="1"/>
  <c r="M616" i="1"/>
  <c r="M607" i="1"/>
  <c r="M674" i="1"/>
  <c r="M577" i="1"/>
  <c r="M654" i="1"/>
  <c r="M688" i="1"/>
  <c r="M404" i="1"/>
  <c r="M663" i="1"/>
  <c r="M592" i="1"/>
  <c r="M584" i="1"/>
  <c r="M642" i="1"/>
  <c r="M605" i="1"/>
  <c r="M554" i="1"/>
  <c r="M519" i="1"/>
  <c r="M704" i="1"/>
  <c r="M689" i="1"/>
  <c r="M682" i="1"/>
  <c r="M639" i="1"/>
  <c r="M602" i="1"/>
  <c r="M678" i="1"/>
  <c r="M587" i="1"/>
  <c r="M633" i="1"/>
  <c r="M681" i="1"/>
  <c r="M626" i="1"/>
  <c r="M699" i="1"/>
  <c r="M613" i="1"/>
  <c r="M702" i="1"/>
  <c r="M640" i="1"/>
  <c r="M632" i="1"/>
  <c r="M652" i="1"/>
  <c r="M677" i="1"/>
  <c r="M593" i="1"/>
  <c r="M693" i="1"/>
  <c r="M687" i="1"/>
  <c r="M653" i="1"/>
  <c r="M658" i="1"/>
  <c r="M649" i="1"/>
  <c r="M624" i="1"/>
  <c r="M666" i="1"/>
  <c r="M694" i="1"/>
  <c r="M637" i="1"/>
  <c r="M709" i="1"/>
  <c r="M685" i="1"/>
  <c r="M641" i="1"/>
  <c r="M686" i="1"/>
  <c r="M695" i="1"/>
  <c r="M716" i="1"/>
  <c r="M648" i="1"/>
  <c r="M644" i="1"/>
  <c r="M588" i="1"/>
  <c r="M707" i="1"/>
  <c r="M705" i="1"/>
  <c r="M659" i="1"/>
  <c r="M717" i="1"/>
  <c r="M718" i="1"/>
  <c r="M721" i="1"/>
  <c r="M673" i="1"/>
  <c r="M679" i="1"/>
  <c r="M698" i="1"/>
  <c r="M675" i="1"/>
  <c r="M712" i="1"/>
  <c r="M711" i="1"/>
  <c r="M729" i="1"/>
  <c r="M715" i="1"/>
  <c r="M664" i="1"/>
  <c r="M713" i="1"/>
  <c r="M710" i="1"/>
  <c r="M726" i="1"/>
  <c r="M736" i="1"/>
  <c r="M746" i="1"/>
  <c r="L15" i="1"/>
  <c r="L14" i="1"/>
  <c r="L13" i="1"/>
  <c r="L12" i="1"/>
  <c r="L11" i="1"/>
  <c r="L10" i="1"/>
  <c r="L9" i="1"/>
  <c r="L8" i="1"/>
  <c r="L7" i="1"/>
  <c r="L6" i="1"/>
  <c r="L5" i="1"/>
  <c r="L4" i="1"/>
  <c r="L3" i="1"/>
  <c r="L2" i="1"/>
  <c r="M2" i="1"/>
  <c r="M32" i="1"/>
  <c r="M54" i="1"/>
  <c r="M4" i="1"/>
  <c r="M100" i="1"/>
  <c r="M12" i="1"/>
  <c r="M6" i="1"/>
  <c r="M7" i="1"/>
  <c r="M3" i="1"/>
  <c r="M73" i="1"/>
  <c r="M9" i="1"/>
  <c r="M27" i="1"/>
  <c r="M11" i="1"/>
  <c r="M8" i="1"/>
  <c r="M40" i="1"/>
  <c r="M94" i="1"/>
  <c r="M15" i="1"/>
  <c r="M5" i="1"/>
  <c r="M38" i="1"/>
  <c r="M114" i="1"/>
  <c r="M74" i="1"/>
  <c r="M124" i="1"/>
  <c r="M70" i="1"/>
  <c r="M23" i="1"/>
  <c r="M68" i="1"/>
  <c r="M10" i="1"/>
  <c r="M101" i="1"/>
  <c r="M46" i="1"/>
  <c r="M105" i="1"/>
  <c r="M65" i="1"/>
  <c r="M25" i="1"/>
  <c r="M52" i="1"/>
  <c r="M45" i="1"/>
  <c r="M244" i="1"/>
  <c r="M64" i="1"/>
  <c r="M109" i="1"/>
  <c r="M17" i="1"/>
  <c r="M30" i="1"/>
  <c r="M81" i="1"/>
  <c r="M250" i="1"/>
  <c r="M118" i="1"/>
  <c r="M37" i="1"/>
  <c r="M48" i="1"/>
  <c r="M43" i="1"/>
  <c r="M13" i="1"/>
  <c r="M82" i="1"/>
  <c r="M88" i="1"/>
  <c r="M20" i="1"/>
  <c r="M76" i="1"/>
  <c r="M174" i="1"/>
  <c r="M113" i="1"/>
  <c r="M132" i="1"/>
  <c r="M57" i="1"/>
  <c r="M28" i="1"/>
  <c r="M19" i="1"/>
  <c r="M288" i="1"/>
  <c r="M119" i="1"/>
  <c r="M97" i="1"/>
  <c r="M93" i="1"/>
  <c r="M111" i="1"/>
  <c r="M265" i="1"/>
  <c r="M62" i="1"/>
  <c r="M18" i="1"/>
  <c r="M99" i="1"/>
  <c r="M72" i="1"/>
  <c r="M53" i="1"/>
  <c r="M63" i="1"/>
  <c r="M39" i="1"/>
  <c r="M34" i="1"/>
  <c r="M83" i="1"/>
  <c r="M29" i="1"/>
  <c r="M143" i="1"/>
  <c r="M22" i="1"/>
  <c r="M144" i="1"/>
  <c r="M14" i="1"/>
  <c r="M67" i="1"/>
  <c r="M156" i="1"/>
  <c r="M42" i="1"/>
  <c r="M47" i="1"/>
  <c r="M199" i="1"/>
  <c r="M71" i="1"/>
  <c r="M134" i="1"/>
  <c r="M246" i="1"/>
  <c r="M61" i="1"/>
  <c r="M50" i="1"/>
  <c r="M202" i="1"/>
  <c r="M36" i="1"/>
  <c r="M35" i="1"/>
  <c r="M84" i="1"/>
  <c r="M89" i="1"/>
  <c r="M298" i="1"/>
  <c r="M183" i="1"/>
  <c r="M254" i="1"/>
  <c r="M95" i="1"/>
  <c r="M116" i="1"/>
  <c r="M461" i="1"/>
  <c r="M135" i="1"/>
  <c r="M318" i="1"/>
  <c r="M285" i="1"/>
  <c r="M133" i="1"/>
  <c r="M173" i="1"/>
  <c r="M138" i="1"/>
  <c r="M408" i="1"/>
  <c r="M170" i="1"/>
  <c r="M351" i="1"/>
  <c r="M58" i="1"/>
  <c r="M180" i="1"/>
  <c r="M345" i="1"/>
  <c r="M328" i="1"/>
  <c r="M176" i="1"/>
  <c r="M232" i="1"/>
  <c r="M424" i="1"/>
  <c r="M209" i="1"/>
  <c r="M128" i="1"/>
  <c r="M371" i="1"/>
  <c r="M294" i="1"/>
  <c r="M247" i="1"/>
  <c r="M194" i="1"/>
  <c r="M273" i="1"/>
  <c r="M181" i="1"/>
  <c r="M326" i="1"/>
  <c r="M168" i="1"/>
  <c r="M210" i="1"/>
  <c r="M382" i="1"/>
  <c r="M439" i="1"/>
  <c r="M342" i="1"/>
  <c r="M185" i="1"/>
  <c r="M275" i="1"/>
  <c r="M437" i="1"/>
  <c r="M387" i="1"/>
  <c r="M325" i="1"/>
  <c r="M241" i="1"/>
  <c r="M451" i="1"/>
  <c r="M175" i="1"/>
  <c r="M434" i="1"/>
  <c r="M530" i="1"/>
  <c r="M475" i="1"/>
  <c r="M339" i="1"/>
  <c r="M418" i="1"/>
  <c r="M489" i="1"/>
  <c r="M491" i="1"/>
  <c r="M467" i="1"/>
  <c r="M264" i="1"/>
  <c r="M482" i="1"/>
  <c r="M286" i="1"/>
  <c r="M494" i="1"/>
  <c r="M419" i="1"/>
  <c r="M431" i="1"/>
  <c r="M480" i="1"/>
  <c r="M481" i="1"/>
  <c r="M492" i="1"/>
  <c r="M299" i="1"/>
  <c r="M355" i="1"/>
  <c r="M377" i="1"/>
  <c r="M435" i="1"/>
  <c r="M240" i="1"/>
  <c r="M405" i="1"/>
  <c r="M543" i="1"/>
  <c r="M526" i="1"/>
  <c r="M363" i="1"/>
  <c r="M295" i="1"/>
  <c r="M564" i="1"/>
  <c r="M366" i="1"/>
  <c r="M403" i="1"/>
  <c r="M567" i="1"/>
  <c r="M560" i="1"/>
  <c r="M361" i="1"/>
  <c r="M456" i="1"/>
  <c r="M490" i="1"/>
  <c r="M329" i="1"/>
  <c r="M237" i="1"/>
  <c r="M630" i="1"/>
  <c r="M386" i="1"/>
  <c r="M271" i="1"/>
  <c r="M615" i="1"/>
  <c r="M401" i="1"/>
  <c r="M562" i="1"/>
  <c r="M315" i="1"/>
  <c r="M550" i="1"/>
  <c r="M488" i="1"/>
  <c r="M337" i="1"/>
  <c r="M582" i="1"/>
  <c r="M415" i="1"/>
  <c r="M398" i="1"/>
  <c r="M521" i="1"/>
  <c r="M474" i="1"/>
  <c r="M500" i="1"/>
  <c r="M608" i="1"/>
  <c r="M622" i="1"/>
  <c r="M555" i="1"/>
  <c r="M651" i="1"/>
  <c r="M548" i="1"/>
  <c r="M511" i="1"/>
  <c r="M580" i="1"/>
  <c r="M576" i="1"/>
  <c r="M628" i="1"/>
  <c r="M618" i="1"/>
  <c r="M631" i="1"/>
  <c r="M662" i="1"/>
  <c r="M667" i="1"/>
  <c r="M670" i="1"/>
  <c r="M470" i="1"/>
  <c r="M627" i="1"/>
  <c r="M544" i="1"/>
  <c r="M614" i="1"/>
  <c r="M575" i="1"/>
  <c r="M609" i="1"/>
  <c r="M672" i="1"/>
  <c r="M547" i="1"/>
  <c r="M668" i="1"/>
  <c r="M683" i="1"/>
  <c r="M603" i="1"/>
  <c r="M684" i="1"/>
  <c r="M657" i="1"/>
  <c r="M680" i="1"/>
  <c r="M669" i="1"/>
  <c r="M706" i="1"/>
  <c r="M629" i="1"/>
  <c r="M708" i="1"/>
  <c r="M676" i="1"/>
  <c r="M714" i="1"/>
  <c r="M719" i="1"/>
  <c r="M727" i="1"/>
  <c r="M722" i="1"/>
  <c r="M724" i="1"/>
  <c r="M742" i="1"/>
  <c r="M739" i="1"/>
  <c r="M741" i="1"/>
  <c r="M56" i="1"/>
  <c r="M98" i="1"/>
  <c r="M162" i="1"/>
  <c r="M112" i="1"/>
  <c r="M85" i="1"/>
  <c r="M204" i="1"/>
  <c r="M159" i="1"/>
  <c r="M66" i="1"/>
  <c r="M226" i="1"/>
  <c r="M305" i="1"/>
  <c r="M223" i="1"/>
  <c r="M200" i="1"/>
  <c r="M102" i="1"/>
  <c r="M291" i="1"/>
  <c r="M230" i="1"/>
  <c r="M203" i="1"/>
  <c r="M86" i="1"/>
  <c r="M31" i="1"/>
  <c r="M214" i="1"/>
  <c r="M96" i="1"/>
  <c r="M222" i="1"/>
  <c r="M106" i="1"/>
  <c r="M125" i="1"/>
  <c r="M317" i="1"/>
  <c r="M166" i="1"/>
  <c r="M145" i="1"/>
  <c r="M300" i="1"/>
  <c r="M368" i="1"/>
  <c r="M260" i="1"/>
  <c r="M215" i="1"/>
  <c r="M190" i="1"/>
  <c r="M90" i="1"/>
  <c r="M152" i="1"/>
  <c r="M252" i="1"/>
  <c r="M172" i="1"/>
  <c r="M218" i="1"/>
  <c r="M216" i="1"/>
  <c r="M389" i="1"/>
  <c r="M77" i="1"/>
  <c r="M283" i="1"/>
  <c r="M344" i="1"/>
  <c r="M92" i="1"/>
  <c r="M55" i="1"/>
  <c r="M208" i="1"/>
  <c r="M157" i="1"/>
  <c r="M79" i="1"/>
  <c r="M107" i="1"/>
  <c r="M306" i="1"/>
  <c r="M153" i="1"/>
  <c r="M277" i="1"/>
  <c r="M353" i="1"/>
  <c r="M131" i="1"/>
  <c r="M140" i="1"/>
  <c r="M108" i="1"/>
  <c r="M120" i="1"/>
  <c r="M420" i="1"/>
  <c r="M160" i="1"/>
  <c r="M340" i="1"/>
  <c r="M336" i="1"/>
  <c r="M193" i="1"/>
  <c r="M243" i="1"/>
  <c r="M308" i="1"/>
  <c r="M192" i="1"/>
  <c r="M220" i="1"/>
  <c r="M253" i="1"/>
  <c r="M362" i="1"/>
  <c r="M231" i="1"/>
  <c r="M455" i="1"/>
  <c r="M251" i="1"/>
  <c r="M161" i="1"/>
  <c r="M238" i="1"/>
  <c r="M189" i="1"/>
  <c r="M522" i="1"/>
  <c r="M486" i="1"/>
  <c r="M184" i="1"/>
  <c r="M297" i="1"/>
  <c r="M195" i="1"/>
  <c r="M493" i="1"/>
  <c r="M412" i="1"/>
  <c r="M198" i="1"/>
  <c r="M536" i="1"/>
  <c r="M433" i="1"/>
  <c r="M385" i="1"/>
  <c r="M444" i="1"/>
  <c r="M528" i="1"/>
  <c r="M477" i="1"/>
  <c r="M292" i="1"/>
  <c r="M597" i="1"/>
  <c r="M332" i="1"/>
  <c r="M322" i="1"/>
  <c r="M541" i="1"/>
  <c r="M333" i="1"/>
  <c r="M358" i="1"/>
  <c r="M529" i="1"/>
  <c r="M321" i="1"/>
  <c r="M422" i="1"/>
  <c r="M430" i="1"/>
  <c r="M523" i="1"/>
  <c r="M510" i="1"/>
  <c r="M350" i="1"/>
  <c r="M581" i="1"/>
  <c r="M534" i="1"/>
  <c r="M310" i="1"/>
  <c r="M479" i="1"/>
  <c r="M574" i="1"/>
  <c r="M506" i="1"/>
  <c r="M660" i="1"/>
  <c r="M392" i="1"/>
  <c r="M647" i="1"/>
  <c r="M585" i="1"/>
  <c r="M565" i="1"/>
  <c r="M621" i="1"/>
  <c r="M601" i="1"/>
  <c r="M393" i="1"/>
  <c r="M487" i="1"/>
  <c r="M623" i="1"/>
  <c r="M650" i="1"/>
  <c r="M610" i="1"/>
  <c r="M508" i="1"/>
  <c r="M591" i="1"/>
  <c r="M539" i="1"/>
  <c r="M645" i="1"/>
  <c r="M656" i="1"/>
  <c r="M625" i="1"/>
  <c r="M671" i="1"/>
  <c r="M599" i="1"/>
  <c r="M594" i="1"/>
  <c r="M655" i="1"/>
  <c r="M636" i="1"/>
  <c r="M570" i="1"/>
  <c r="M691" i="1"/>
  <c r="M703" i="1"/>
  <c r="M634" i="1"/>
  <c r="M697" i="1"/>
  <c r="M701" i="1"/>
  <c r="M692" i="1"/>
  <c r="M696" i="1"/>
  <c r="M690" i="1"/>
  <c r="M734" i="1"/>
  <c r="M725" i="1"/>
  <c r="M738" i="1"/>
  <c r="M745" i="1"/>
  <c r="M80" i="1"/>
  <c r="M700" i="1"/>
  <c r="M730" i="1"/>
</calcChain>
</file>

<file path=xl/sharedStrings.xml><?xml version="1.0" encoding="utf-8"?>
<sst xmlns="http://schemas.openxmlformats.org/spreadsheetml/2006/main" count="2257" uniqueCount="391">
  <si>
    <t>feature</t>
  </si>
  <si>
    <t>metadata</t>
  </si>
  <si>
    <t>value</t>
  </si>
  <si>
    <t>coef</t>
  </si>
  <si>
    <t>stderr</t>
  </si>
  <si>
    <t>N</t>
  </si>
  <si>
    <t>N.not.0</t>
  </si>
  <si>
    <t>pval</t>
  </si>
  <si>
    <t>qval</t>
  </si>
  <si>
    <t>d__Bacteria.p__Bacillota_A.c__Clostridia.o__Lachnospirales.f__Lachnospiraceae.g__Brotaphodocola.s__Brotaphodocola.sp003478505</t>
  </si>
  <si>
    <t>Group</t>
  </si>
  <si>
    <t>PD</t>
  </si>
  <si>
    <t>d__Bacteria.p__Bacillota_A.c__Clostridia.o__Lachnospirales.f__Lachnospiraceae.g__Anthropogastromicrobium.s__Anthropogastromicrobium.sp934292725</t>
  </si>
  <si>
    <t>d__Bacteria.p__Bacillota_A.c__Clostridia.o__Lachnospirales.f__Lachnospiraceae.g__Hominiventricola.s__Hominiventricola.sp003480725</t>
  </si>
  <si>
    <t>d__Bacteria.p__Bacillota_A.c__Clostridia.o__Lachnospirales.f__Lachnospiraceae.g__Roseburia_B.s__Roseburia_B.zhanii</t>
  </si>
  <si>
    <t>d__Bacteria.p__Bacillota_A.c__Clostridia.o__Oscillospirales.f__Ruminococcaceae.g__Faecalibacterium.s__Faecalibacterium.sp934514285</t>
  </si>
  <si>
    <t>d__Bacteria.p__Bacillota_A.c__Clostridia.o__Lachnospirales.f__Lachnospiraceae.g__Brotaphodocola.s__Brotaphodocola.sp003480315</t>
  </si>
  <si>
    <t>d__Bacteria.p__Bacillota_A.c__Clostridia.o__Lachnospirales.f__Lachnospiraceae.g__Fusicatenibacter.s__Fusicatenibacter.saccharivorans</t>
  </si>
  <si>
    <t>d__Bacteria.p__Bacillota_A.c__Clostridia.o__Lachnospirales.f__Lachnospiraceae.g__Hominisplanchenecus.s__Hominisplanchenecus.faecis</t>
  </si>
  <si>
    <t>d__Bacteria.p__Bacillota_A.c__Clostridia.o__Oscillospirales.f__Ruminococcaceae.g__Ruthenibacterium.s__Ruthenibacterium.lactatiformans</t>
  </si>
  <si>
    <t>d__Bacteria.p__Bacillota_A.c__Clostridia.o__Lachnospirales.f__Lachnospiraceae.g__Agathobacter.s__Agathobacter.rectalis</t>
  </si>
  <si>
    <t>d__Bacteria.p__Bacillota_A.c__Clostridia.o__Lachnospirales.f__Lachnospiraceae.g__UBA3402.s__UBA3402.sp003478355</t>
  </si>
  <si>
    <t>d__Bacteria.p__Bacillota_A.c__Clostridia.o__Lachnospirales.f__Lachnospiraceae.g__Eubacterium_F.s__Eubacterium_F.sp003491505</t>
  </si>
  <si>
    <t>d__Bacteria.p__Actinomycetota.c__Coriobacteriia.o__Coriobacteriales.f__Eggerthellaceae.g__Eggerthella.s__Eggerthella.lenta</t>
  </si>
  <si>
    <t>Sex_Male1_Female2</t>
  </si>
  <si>
    <t>Female</t>
  </si>
  <si>
    <t>d__Bacteria.p__Bacillota_A.c__Clostridia.o__Lachnospirales.f__Lachnospiraceae.g__Otoolea.s__Otoolea.fessa</t>
  </si>
  <si>
    <t>d__Bacteria.p__Bacillota.c__Bacilli.o__Lactobacillales.f__Streptococcaceae.g__Streptococcus.s__Streptococcus.mutans</t>
  </si>
  <si>
    <t>d__Bacteria.p__Bacillota_A.c__Clostridia.o__Lachnospirales.f__Lachnospiraceae.g__Anaerostipes.s__</t>
  </si>
  <si>
    <t>d__Bacteria.p__Bacteroidota.c__Bacteroidia.o__Bacteroidales.f__Rikenellaceae.g__Alistipes.s__Alistipes.onderdonkii</t>
  </si>
  <si>
    <t>d__Bacteria.p__Bacillota_A.c__Clostridia.o__Oscillospirales.f__Ruminococcaceae.g__CAG.115.s__CAG.115.sp003531585</t>
  </si>
  <si>
    <t>d__Bacteria.p__Bacillota_A.c__Clostridia.o__Oscillospirales.f__Ruminococcaceae.g__Faecalibacterium.s__Faecalibacterium.sp900539945</t>
  </si>
  <si>
    <t>d__Bacteria.p__Actinomycetota.c__Actinomycetes.o__Actinomycetales.f__Bifidobacteriaceae.g__Bifidobacterium.s__Bifidobacterium.infantis</t>
  </si>
  <si>
    <t>d__Bacteria.p__Bacillota_A.c__Clostridia.o__Lachnospirales.f__Lachnospiraceae.g__Eubacterium_G.s__Eubacterium_G.ventriosum</t>
  </si>
  <si>
    <t>d__Bacteria.p__Bacillota_A.c__Clostridia.o__Lachnospirales.f__Lachnospiraceae.g__Pararoseburia.s__Pararoseburia.lenta</t>
  </si>
  <si>
    <t>d__Bacteria.p__Bacillota_A.c__Clostridia.o__Lachnospirales.f__Lachnospiraceae.g__Enterocloster.s__Enterocloster.sp900541315</t>
  </si>
  <si>
    <t>d__Bacteria.p__Bacillota_A.c__Clostridia.o__Lachnospirales.f__Lachnospiraceae.g__Alitiscatomonas.s__Alitiscatomonas.sp900066535</t>
  </si>
  <si>
    <t>d__Bacteria.p__Bacillota_A.c__Clostridia.o__Oscillospirales.f__Oscillospiraceae.g__UMGS1766.s__UMGS1766.sp959602365</t>
  </si>
  <si>
    <t>d__Bacteria.p__Bacillota_A.c__Clostridia.o__Oscillospirales.f__Acutalibacteraceae.g__CAG.177.s__CAG.177.sp003514385</t>
  </si>
  <si>
    <t>d__Bacteria.p__Bacillota_A.c__Clostridia.o__Lachnospirales.f__Lachnospiraceae.g__Butyribacter.s__Butyribacter.intestini</t>
  </si>
  <si>
    <t>d__Bacteria.p__Bacillota_A.c__Clostridia.o__Lachnospirales.f__Lachnospiraceae.g__Ruminococcus_B.s__Ruminococcus_B.gnavus</t>
  </si>
  <si>
    <t>d__Bacteria.p__Bacillota_A.c__Clostridia.o__Lachnospirales.f__Lachnospiraceae.g__Clostridium_AP.s__Clostridium_AP.scindens</t>
  </si>
  <si>
    <t>d__Bacteria.p__Bacillota_A.c__Clostridia.o__Oscillospirales.f__Ruminococcaceae.g__Faecalibacterium.s__Faecalibacterium.prausnitzii_I</t>
  </si>
  <si>
    <t>d__Bacteria.p__Bacillota.c__Bacilli.o__Lactobacillales.f__Streptococcaceae.g__Streptococcus.s__Streptococcus.thermophilus</t>
  </si>
  <si>
    <t>d__Bacteria.p__Bacillota_A.c__Clostridia.o__Lachnospirales.f__Lachnospiraceae.g__Alitiscatomonas.s__Alitiscatomonas.sp900066785</t>
  </si>
  <si>
    <t>d__Bacteria.p__Bacillota_A.c__Clostridia.o__Lachnospirales.f__Lachnospiraceae.g__Gallintestinimicrobium.s__Gallintestinimicrobium.propionicum</t>
  </si>
  <si>
    <t>d__Bacteria.p__Bacillota_A.c__Clostridia.o__Oscillospirales.f__Ruminococcaceae.g__Gemmiger.s__Gemmiger.sp900539695</t>
  </si>
  <si>
    <t>d__Bacteria.p__Bacillota_A.c__Clostridia.o__Lachnospirales.f__Anaerotignaceae.g__Anaerotignum.s__Anaerotignum.faecicola</t>
  </si>
  <si>
    <t>d__Bacteria.p__Bacillota_A.c__Clostridia.o__Lachnospirales.f__Lachnospiraceae.g__JAGTTR01.s__JAGTTR01.sp018223385</t>
  </si>
  <si>
    <t>d__Bacteria.p__Bacillota_A.c__Clostridia.o__UBA1381.f__UBA1381.g__Hominilimicola.s__Hominilimicola.fabiformis</t>
  </si>
  <si>
    <t>d__Bacteria.p__Bacillota_A.c__Clostridia.o__Lachnospirales.f__Lachnospiraceae.g__Blautia.s__Blautia.celeris</t>
  </si>
  <si>
    <t>d__Bacteria.p__Bacillota_A.c__Clostridia.o__Lachnospirales.f__Lachnospiraceae.g__Blautia_A.s__Blautia_A.sp934424005</t>
  </si>
  <si>
    <t>d__Bacteria.p__Bacillota_A.c__Clostridia.o__Lachnospirales.f__Lachnospiraceae.g__Blautia_A.s__Blautia_A.wexlerae_B</t>
  </si>
  <si>
    <t>d__Bacteria.p__Bacillota_A.c__Clostridia.o__Lachnospirales.f__Lachnospiraceae.g__Hominifimenecus.s__Hominifimenecus.microfluidus</t>
  </si>
  <si>
    <t>d__Bacteria.p__Bacillota_A.c__Clostridia.o__Monoglobales.f__Monoglobaceae.g__Monoglobus.s__Monoglobus.pectinilyticus</t>
  </si>
  <si>
    <t>d__Bacteria.p__Bacillota_A.c__Clostridia.o__Oscillospirales.f__Oscillospiraceae.g__Dysosmobacter.s__Dysosmobacter.segnis</t>
  </si>
  <si>
    <t>d__Bacteria.p__Bacillota_A.c__Clostridia.o__Oscillospirales.f__Ruminococcaceae.g__Faecalibacterium.s__Faecalibacterium.sp900539885</t>
  </si>
  <si>
    <t>d__Bacteria.p__Bacillota_A.c__Clostridia.o__Oscillospirales.f__Ruminococcaceae.g__Faecalibacterium.s__Faecalibacterium.sp900758465</t>
  </si>
  <si>
    <t>d__Bacteria.p__Bacillota_A.c__Clostridia.o__Peptostreptococcales.f__Anaerovoracaceae.g__Emergencia.s__Emergencia.timonensis</t>
  </si>
  <si>
    <t>d__Bacteria.p__Bacillota_A.c__Clostridia.o__Oscillospirales.f__Ruminococcaceae.g__Ruminiclostridium_E.s__Ruminiclostridium_E.siraeum</t>
  </si>
  <si>
    <t>d__Bacteria.p__Actinomycetota.c__Actinomycetes.o__Actinomycetales.f__Bifidobacteriaceae.g__Bifidobacterium.s__Bifidobacterium.animalis_B</t>
  </si>
  <si>
    <t>d__Bacteria.p__Bacillota_A.c__Clostridia.o__Lachnospirales.f__Lachnospiraceae.g__Roseburia.s__Roseburia.inulinivorans</t>
  </si>
  <si>
    <t>d__Bacteria.p__Bacillota_A.c__Clostridia.o__TANB77.f__CAG.508.g__CAG.269.s__CAG.269.sp000431335</t>
  </si>
  <si>
    <t>d__Bacteria.p__Bacillota_A.c__Clostridia.o__Christensenellales.f__Aristaeellaceae.g__Ventricola.s__Ventricola.sp900542445</t>
  </si>
  <si>
    <t>d__Bacteria.p__Bacillota_A.c__Clostridia.o__Oscillospirales.f__Ruminococcaceae.g__Hominimerdicola.s__Hominimerdicola.aceti</t>
  </si>
  <si>
    <t>d__Bacteria.p__Bacillota_A.c__Clostridia.o__Peptostreptococcales.f__Anaerovoracaceae.g__Lentihominibacter.s__Lentihominibacter.faecis</t>
  </si>
  <si>
    <t>d__Bacteria.p__Bacillota_A.c__Clostridia.o__Lachnospirales.f__Lachnospiraceae.g__Mediterraneibacter.s__Mediterraneibacter.sp900541505</t>
  </si>
  <si>
    <t>d__Bacteria.p__Bacillota_A.c__Clostridia.o__Lachnospirales.f__Lachnospiraceae.g__Sellimonas.s__Sellimonas.intestinalis</t>
  </si>
  <si>
    <t>d__Bacteria.p__Bacillota_A.c__Clostridia.o__Oscillospirales.f__Ruminococcaceae.g__Faecalibacterium.s__Faecalibacterium.sp905215595</t>
  </si>
  <si>
    <t>d__Bacteria.p__Bacteroidota.c__Bacteroidia.o__Bacteroidales.f__Rikenellaceae.g__Alistipes_A.s__Alistipes_A.ihumii</t>
  </si>
  <si>
    <t>d__Bacteria.p__Bacillota_A.c__Clostridia.o__Lachnospirales.f__Lachnospiraceae.g__Hominiventricola.s__Hominiventricola.filiformis</t>
  </si>
  <si>
    <t>d__Bacteria.p__Bacillota_A.c__Clostridia.o__Lachnospirales.f__Lachnospiraceae.g__Limivivens.s__Limivivens.sp934393555</t>
  </si>
  <si>
    <t>d__Bacteria.p__Bacillota_A.c__Clostridia.o__Oscillospirales.f__Butyricicoccaceae.g__Agathobaculum.s__Agathobaculum.butyriciproducens</t>
  </si>
  <si>
    <t>d__Bacteria.p__Bacillota_A.c__Clostridia.o__Lachnospirales.f__Lachnospiraceae.g__Lachnospira.s__Lachnospira.hominis</t>
  </si>
  <si>
    <t>d__Bacteria.p__Bacillota_A.c__Clostridia.o__Lachnospirales.f__Lachnospiraceae.g__Limivivens.s__Limivivens.faecihominis</t>
  </si>
  <si>
    <t>d__Bacteria.p__Bacillota_A.c__Clostridia.o__Lachnospirales.f__Lachnospiraceae.g__Roseburia.s__Roseburia.intestinalis</t>
  </si>
  <si>
    <t>d__Bacteria.p__Bacillota_A.c__Clostridia.o__Oscillospirales.f__CAG.272.g__UMGS1696.s__UMGS1696.sp900753285</t>
  </si>
  <si>
    <t>d__Bacteria.p__Bacillota_A.c__Clostridia.o__Oscillospirales.f__Oscillospiraceae.g__Vescimonas.s__Vescimonas.sp000435555</t>
  </si>
  <si>
    <t>d__Bacteria.p__Bacillota_I.c__Bacilli_A.o__Erysipelotrichales.f__Erysipelotrichaceae.g__Clostridium_AQ.s__Clostridium_AQ.innocuum</t>
  </si>
  <si>
    <t>d__Bacteria.p__Bacillota_A.c__Clostridia.o__Lachnospirales.f__Lachnospiraceae.g__Eubacterium_F.s__Eubacterium_F.sp900539115</t>
  </si>
  <si>
    <t>d__Bacteria.p__Bacillota_I.c__Bacilli_A.o__Erysipelotrichales.f__Coprobacillaceae.g__Allocoprobacillus.s__Allocoprobacillus.merdigallinarum</t>
  </si>
  <si>
    <t>d__Bacteria.p__Bacillota_A.c__Clostridia.o__Oscillospirales.f__Acutalibacteraceae.g__Hominenteromicrobium.s__Hominenteromicrobium.sp900549945</t>
  </si>
  <si>
    <t>d__Bacteria.p__Bacillota_A.c__Clostridia.o__Oscillospirales.f__Acutalibacteraceae.g__Clostridium_A.s__Clostridium_A.leptum</t>
  </si>
  <si>
    <t>d__Bacteria.p__Bacillota.c__Bacilli.o__Lactobacillales.f__Streptococcaceae.g__Lactococcus.s__Lactococcus.lactis</t>
  </si>
  <si>
    <t>d__Bacteria.p__Bacillota_A.c__Clostridia.o__Christensenellales.f__Aristaeellaceae.g__Ventricola.s__Ventricola.sp900542395</t>
  </si>
  <si>
    <t>d__Bacteria.p__Bacillota_A.c__Clostridia.o__Lachnospirales.f__Lachnospiraceae.g__Acetatifactor.s__Acetatifactor.acetigignens</t>
  </si>
  <si>
    <t>d__Bacteria.p__Bacillota_A.c__Clostridia.o__Lachnospirales.f__Lachnospiraceae.g__Bariatricus.s__Bariatricus.comes_A</t>
  </si>
  <si>
    <t>d__Bacteria.p__Bacillota_A.c__Clostridia.o__Lachnospirales.f__Lachnospiraceae.g__Blautia_A.s__Blautia_A.acetigignens</t>
  </si>
  <si>
    <t>d__Bacteria.p__Bacillota_A.c__Clostridia.o__Lachnospirales.f__Lachnospiraceae.g__Enterocloster.s__Enterocloster.bolteae</t>
  </si>
  <si>
    <t>d__Bacteria.p__Bacillota_A.c__Clostridia.o__Lachnospirales.f__Lachnospiraceae.g__Mediterraneibacter.s__Mediterraneibacter.torques</t>
  </si>
  <si>
    <t>d__Bacteria.p__Bacillota_A.c__Clostridia.o__Lachnospirales.f__Lachnospiraceae.g__Roseburia_D.s__Roseburia_D.yibonii</t>
  </si>
  <si>
    <t>d__Bacteria.p__Bacillota_A.c__Clostridia.o__Oscillospirales.f__Oscillospiraceae.g__Flavonifractor.s__Flavonifractor.plautii</t>
  </si>
  <si>
    <t>d__Bacteria.p__Bacillota_A.c__Clostridia.o__Oscillospirales.f__Ruminococcaceae.g__Gemmiger.s__Gemmiger.formicilis</t>
  </si>
  <si>
    <t>d__Bacteria.p__Bacteroidota.c__Bacteroidia.o__Bacteroidales.f__Rikenellaceae.g__Alistipes.s__Alistipes.shahii</t>
  </si>
  <si>
    <t>d__Bacteria.p__Pseudomonadota.c__Gammaproteobacteria.o__Enterobacterales.f__Enterobacteriaceae.g__Escherichia.s__Escherichia.coli_F</t>
  </si>
  <si>
    <t>d__Bacteria.p__Actinomycetota.c__Actinomycetes.o__Actinomycetales.f__Bifidobacteriaceae.g__Bifidobacterium.s__Bifidobacterium.adolescentis</t>
  </si>
  <si>
    <t>d__Bacteria.p__Bacillota_A.c__Clostridia.o__Lachnospirales.f__Lachnospiraceae.g__Limivivens.s__Limivivens.sp905214955</t>
  </si>
  <si>
    <t>d__Bacteria.p__Bacillota_A.c__Clostridia.o__Lachnospirales.f__Lachnospiraceae.g__Blautia_A.s__Blautia_A.sp900551715</t>
  </si>
  <si>
    <t>d__Bacteria.p__Bacillota_I.c__Bacilli_A.o__Erysipelotrichales.f__Coprobacillaceae.g__Faecalibacillus.s__Faecalibacillus.intestinalis</t>
  </si>
  <si>
    <t>d__Bacteria.p__Bacillota_A.c__Clostridia.o__Lachnospirales.f__Lachnospiraceae.g__Jutongia.s__Jutongia.sp003524945</t>
  </si>
  <si>
    <t>d__Bacteria.p__Bacillota_A.c__Clostridia.o__Lachnospirales.f__Lachnospiraceae.g__Ventrisoma.s__Ventrisoma.faecale</t>
  </si>
  <si>
    <t>d__Bacteria.p__Bacillota_A.c__Clostridia.o__Peptostreptococcales.f__Anaerovoracaceae.g__Fimisoma.s__Fimisoma.sp000435715</t>
  </si>
  <si>
    <t>d__Bacteria.p__Bacillota_A.c__Clostridia.o__Lachnospirales.f__Lachnospiraceae.g__Butyribacter.s__Butyribacter.sp003529475</t>
  </si>
  <si>
    <t>d__Bacteria.p__Bacillota.c__Bacilli.o__Lactobacillales.f__Streptococcaceae.g__Streptococcus.s__Streptococcus.sp001556435</t>
  </si>
  <si>
    <t>d__Bacteria.p__Bacillota_A.c__Clostridia.o__Lachnospirales.f__Lachnospiraceae.g__Blautia.s__Blautia.stercoris</t>
  </si>
  <si>
    <t>d__Bacteria.p__Bacillota_A.c__Clostridia.o__Lachnospirales.f__Lachnospiraceae.g__Blautia_A.s__Blautia_A.sp003474435</t>
  </si>
  <si>
    <t>d__Bacteria.p__Bacillota_A.c__Clostridia.o__Lachnospirales.f__Lachnospiraceae.g__Eisenbergiella.s__Eisenbergiella.porci</t>
  </si>
  <si>
    <t>d__Bacteria.p__Bacillota_A.c__Clostridia.o__Lachnospirales.f__Lachnospiraceae.g__Lachnospira.s__Lachnospira.sp000437735</t>
  </si>
  <si>
    <t>d__Bacteria.p__Bacillota_A.c__Clostridia.o__Oscillospirales.f__Oscillospiraceae.g__CAG.103.s__CAG.103.sp905215475</t>
  </si>
  <si>
    <t>d__Bacteria.p__Bacillota_A.c__Clostridia.o__Oscillospirales.f__Oscillospiraceae.g__Evtepia.s__Evtepia.gabavorous</t>
  </si>
  <si>
    <t>d__Bacteria.p__Bacillota_A.c__Clostridia.o__Lachnospirales.f__Lachnospiraceae.g__Lachnoclostridium_B.s__Lachnoclostridium_B.ammoniilytica</t>
  </si>
  <si>
    <t>d__Bacteria.p__Bacillota_A.c__Clostridia.o__Oscillospirales.f__Ruminococcaceae.g__Gemmiger.s__Gemmiger.qucibialis</t>
  </si>
  <si>
    <t>d__Bacteria.p__Bacillota_A.c__Clostridia.o__Oscillospirales.f__Acutalibacteraceae.g__UMGS1623.s__UMGS1623.sp934647945</t>
  </si>
  <si>
    <t>d__Bacteria.p__Bacillota_A.c__Clostridia.o__Lachnospirales.f__Lachnospiraceae.g__CAJJNI01.s__CAJJNI01.sp905193085</t>
  </si>
  <si>
    <t>d__Bacteria.p__Bacillota_A.c__Clostridia.o__Lachnospirales.f__Lachnospiraceae.g__Dorea_A.s__Dorea_A.longicatena</t>
  </si>
  <si>
    <t>d__Bacteria.p__Bacillota_A.c__Clostridia.o__Lachnospirales.f__Lachnospiraceae.g__Enterocloster.s__Enterocloster.sp000431375</t>
  </si>
  <si>
    <t>d__Bacteria.p__Bacillota_A.c__Clostridia.o__Lachnospirales.f__Lachnospiraceae.g__Eubacterium_I.s__Eubacterium_I.ramulus</t>
  </si>
  <si>
    <t>d__Bacteria.p__Bacillota_A.c__Clostridia.o__Lachnospirales.f__Lachnospiraceae.g__Mediterraneibacter.s__Mediterraneibacter.faecis</t>
  </si>
  <si>
    <t>d__Bacteria.p__Bacillota_A.c__Clostridia.o__Oscillospirales.f__Oscillospiraceae.g__Pseudoflavonifractor.s__Pseudoflavonifractor.faecis</t>
  </si>
  <si>
    <t>d__Bacteria.p__Bacillota_A.c__Clostridia.o__Oscillospirales.f__Ruminococcaceae.g__Faecalibacterium.s__Faecalibacterium.duncaniae</t>
  </si>
  <si>
    <t>d__Bacteria.p__Bacillota_A.c__Clostridia.o__Lachnospirales.f__Lachnospiraceae.g__Scatomonas.s__Scatomonas.merdavium</t>
  </si>
  <si>
    <t>d__Bacteria.p__Bacillota_A.c__Clostridia.o__Oscillospirales.f__Ruminococcaceae.g__Faecalibacterium.s__Faecalibacterium.prausnitzii_E</t>
  </si>
  <si>
    <t>d__Bacteria.p__Bacillota.c__Bacilli.o__Lactobacillales.f__Streptococcaceae.g__Streptococcus.s__Streptococcus.sp902463925</t>
  </si>
  <si>
    <t>d__Bacteria.p__Bacillota_I.c__Bacilli_A.o__Erysipelotrichales.f__Erysipelotrichaceae.g__Holdemanella.s__Holdemanella.porci</t>
  </si>
  <si>
    <t>d__Bacteria.p__Bacillota_A.c__Clostridia.o__Oscillospirales.f__Acutalibacteraceae.g__UMGS1071.s__UMGS1071.sp900542375</t>
  </si>
  <si>
    <t>d__Bacteria.p__Bacillota_A.c__Clostridia.o__Lachnospirales.f__Lachnospiraceae.g__Frisingicoccus.s__Frisingicoccus.sp900757195</t>
  </si>
  <si>
    <t>d__Bacteria.p__Bacillota_A.c__Clostridia.o__Oscillospirales.f__Oscillospiraceae.g__Vescimonas.s__Vescimonas.coprocola</t>
  </si>
  <si>
    <t>d__Bacteria.p__Actinomycetota.c__Coriobacteriia.o__Coriobacteriales.f__Eggerthellaceae.g__Adlercreutzia.s__Adlercreutzia.equolifaciens</t>
  </si>
  <si>
    <t>d__Bacteria.p__Bacillota_A.c__Clostridia.o__Lachnospirales.f__Lachnospiraceae.g__Eubacterium_F.s__Eubacterium_F.sp000433735</t>
  </si>
  <si>
    <t>d__Bacteria.p__Bacillota_A.c__Clostridia.o__Peptostreptococcales.f__Peptostreptococcaceae.g__Romboutsia.s__Romboutsia.timonensis</t>
  </si>
  <si>
    <t>d__Bacteria.p__Bacillota_A.c__Clostridia.o__Oscillospirales.f__Acutalibacteraceae.g__Anaeromassilibacillus.s__Anaeromassilibacillus.stercoravium</t>
  </si>
  <si>
    <t>d__Bacteria.p__Bacillota_A.c__Clostridia.o__Lachnospirales.f__Lachnospiraceae.g__Schaedlerella.s__Schaedlerella.glycyrrhizinilytica_A</t>
  </si>
  <si>
    <t>d__Bacteria.p__Bacillota_A.c__Clostridia.o__Lachnospirales.f__Lachnospiraceae.g__Lachnospira.s__Lachnospira.pectinoschiza_A</t>
  </si>
  <si>
    <t>d__Bacteria.p__Actinomycetota.c__Coriobacteriia.o__Coriobacteriales.f__Eggerthellaceae.g__Gordonibacter.s__Gordonibacter.pamelaeae</t>
  </si>
  <si>
    <t>d__Bacteria.p__Bacillota_A.c__Clostridia.o__Lachnospirales.f__Lachnospiraceae.g__AF33.28.s__AF33.28.sp003477885</t>
  </si>
  <si>
    <t>d__Bacteria.p__Bacillota_A.c__Clostridia.o__Peptostreptococcales.f__Anaerovoracaceae.g__Lentihominibacter.s__Lentihominibacter.excrementipullorum</t>
  </si>
  <si>
    <t>d__Bacteria.p__Actinomycetota.c__Coriobacteriia.o__Coriobacteriales.f__Eggerthellaceae.g__Gordonibacter.s__Gordonibacter.urolithinfaciens</t>
  </si>
  <si>
    <t>d__Bacteria.p__Bacillota_I.c__Bacilli_A.o__Erysipelotrichales.f__Erysipelotrichaceae.g__Merdibacter.s__Merdibacter.merdipullorum</t>
  </si>
  <si>
    <t>d__Bacteria.p__Bacillota_A.c__Clostridia.o__Lachnospirales.f__Lachnospiraceae.g__Faecalimonas.s__Faecalimonas.sp029983955</t>
  </si>
  <si>
    <t>d__Bacteria.p__Bacteroidota.c__Bacteroidia.o__Bacteroidales.f__Tannerellaceae.g__Parabacteroides.s__Parabacteroides.merdae</t>
  </si>
  <si>
    <t>d__Bacteria.p__Bacillota_A.c__Clostridia.o__Lachnospirales.f__Lachnospiraceae.g__Muricoprocola.s__Muricoprocola.aceti</t>
  </si>
  <si>
    <t>d__Bacteria.p__Bacillota.c__Bacilli.o__MOL361.f__Turicibacteraceae.g__Turicibacter.s__Turicibacter.sanguinis</t>
  </si>
  <si>
    <t>d__Bacteria.p__Bacillota_A.c__Clostridia.o__Lachnospirales.f__Lachnospiraceae.g__Agathobacter.s__Agathobacter.faecis</t>
  </si>
  <si>
    <t>d__Bacteria.p__Bacillota_A.c__Clostridia.o__Lachnospirales.f__Lachnospiraceae.g__Blautia_A.s__Blautia_A.sp900066335</t>
  </si>
  <si>
    <t>d__Bacteria.p__Bacillota_A.c__Clostridia.o__Lachnospirales.f__Lachnospiraceae.g__Pseudolachnospira.s__Pseudolachnospira.sp022867805</t>
  </si>
  <si>
    <t>d__Bacteria.p__Bacillota_A.c__Clostridia.o__Lachnospirales.f__Lachnospiraceae.g__Roseburia.s__Roseburia.hominis</t>
  </si>
  <si>
    <t>d__Bacteria.p__Bacillota_A.c__Clostridia.o__Oscillospirales.f__Ruminococcaceae.g__Ruthenibacterium.s__Ruthenibacterium.merdipullorum</t>
  </si>
  <si>
    <t>d__Bacteria.p__Bacillota_A.c__Clostridia.o__TANB77.f__CAG.508.g__CAG.269.s__CAG.269.sp003525075</t>
  </si>
  <si>
    <t>d__Bacteria.p__Bacteroidota.c__Bacteroidia.o__Bacteroidales.f__Rikenellaceae.g__Alistipes.s__Alistipes.sp902363575</t>
  </si>
  <si>
    <t>d__Bacteria.p__Bacillota_A.c__Clostridia.o__Lachnospirales.f__Lachnospiraceae.g__Hungatella.s__Hungatella.effluvii</t>
  </si>
  <si>
    <t>d__Bacteria.p__Actinomycetota.c__Actinomycetes.o__Actinomycetales.f__Bifidobacteriaceae.g__Bifidobacterium.s__Bifidobacterium.pseudocatenulatum</t>
  </si>
  <si>
    <t>d__Bacteria.p__Bacillota_A.c__Clostridia.o__Lachnospirales.f__Lachnospiraceae.g__Dorea_D.s__Dorea_D.sp900543415</t>
  </si>
  <si>
    <t>d__Bacteria.p__Bacillota_A.c__Clostridia.o__Lachnospirales.f__Lachnospiraceae.g__Blautia_A.s__Blautia_A.ammoniilytica</t>
  </si>
  <si>
    <t>d__Bacteria.p__Pseudomonadota.c__Gammaproteobacteria.o__Burkholderiales.f__Burkholderiaceae.g__Sutterella.s__Sutterella.wadsworthensis</t>
  </si>
  <si>
    <t>d__Bacteria.p__Bacillota_I.c__Bacilli_A.o__RF39.f__UBA660.g__CAG.302.s__CAG.302.sp934162325</t>
  </si>
  <si>
    <t>d__Bacteria.p__Bacillota_A.c__Clostridia.o__Oscillospirales.f__Oscillospiraceae.g__Faecousia.s__Faecousia.sp000435995</t>
  </si>
  <si>
    <t>d__Bacteria.p__Bacillota_A.c__Clostridia.o__TANB77.f__CAG.508.g__CAG.269.s__CAG.269.sp000437215</t>
  </si>
  <si>
    <t>d__Bacteria.p__Bacillota_A.c__Clostridia.o__Oscillospirales.f__Oscillospiraceae.g__Lawsonibacter.s__Lawsonibacter.sp900066825</t>
  </si>
  <si>
    <t>d__Bacteria.p__Bacillota_A.c__Clostridia.o__Oscillospirales.f__Ruminococcaceae.g__Anaerotruncus.s__Anaerotruncus.rubiinfantis</t>
  </si>
  <si>
    <t>d__Bacteria.p__Bacillota_A.c__Clostridia.o__Oscillospirales.f__Oscillospiraceae.g__Intestinimonas.s__Intestinimonas.massiliensis</t>
  </si>
  <si>
    <t>d__Bacteria.p__Bacillota_A.c__Clostridia.o__Peptostreptococcales.f__Anaerovoracaceae.g__Alangreenwoodia.s__Alangreenwoodia.sp905206455</t>
  </si>
  <si>
    <t>d__Bacteria.p__Bacillota_I.c__Bacilli_A.o__Erysipelotrichales.f__Coprobacillaceae.g__Faecalibacillus.s__Faecalibacillus.faecis</t>
  </si>
  <si>
    <t>d__Bacteria.p__Bacillota_A.c__Clostridia.o__Lachnospirales.f__Lachnospiraceae.g__Blautia_A.s__Blautia_A.caecimuris</t>
  </si>
  <si>
    <t>d__Bacteria.p__Bacillota_A.c__Clostridia.o__Oscillospirales.f__Butyricicoccaceae.g__Agathobaculum.s__Agathobaculum.hominis</t>
  </si>
  <si>
    <t>d__Bacteria.p__Bacillota_A.c__Clostridia.o__Oscillospirales.f__Oscillospiraceae.g__Enterenecus.s__Enterenecus.sp900549885</t>
  </si>
  <si>
    <t>d__Bacteria.p__Bacillota_A.c__Clostridia.o__Oscillospirales.f__Oscillospiraceae.g__CAG.170.s__CAG.170.sp002404795</t>
  </si>
  <si>
    <t>d__Bacteria.p__Bacillota_I.c__Bacilli_A.o__Erysipelotrichales.f__Erysipelotrichaceae.g__Longicatena.s__Longicatena.caecimuris</t>
  </si>
  <si>
    <t>d__Bacteria.p__Bacillota_A.c__Clostridia.o__Oscillospirales.f__Ruminococcaceae.g__Porcipelethomonas.s__Porcipelethomonas.sp900538575</t>
  </si>
  <si>
    <t>d__Bacteria.p__Bacillota_A.c__Clostridia.o__Peptostreptococcales.f__Peptostreptococcaceae.g__Intestinibacter.s__Intestinibacter.sp900540355</t>
  </si>
  <si>
    <t>d__Bacteria.p__Bacillota_A.c__Clostridia.o__Oscillospirales.f__Oscillospiraceae.g__CAG.103.s__CAG.103.sp000432375</t>
  </si>
  <si>
    <t>d__Bacteria.p__Bacillota_A.c__Clostridia.o__Lachnospirales.f__Lachnospiraceae.g__Blautia_A.s__Blautia_A.hydrogenotrophica</t>
  </si>
  <si>
    <t>d__Bacteria.p__Bacillota_A.c__Clostridia.o__Oscillospirales.f__Ruminococcaceae.g__Harryflintia.s__Harryflintia.acetispora</t>
  </si>
  <si>
    <t>d__Bacteria.p__Actinomycetota.c__Coriobacteriia.o__Coriobacteriales.f__Coriobacteriaceae.g__Collinsella.s__Collinsella.sp023656745</t>
  </si>
  <si>
    <t>d__Bacteria.p__Bacillota_A.c__Clostridia.o__Lachnospirales.f__Lachnospiraceae.g__Scatomonas.s__Scatomonas.hejianensis</t>
  </si>
  <si>
    <t>d__Bacteria.p__Bacillota_A.c__Clostridia.o__Oscillospirales.f__Oscillospiraceae.g__Vescimonas.s__Vescimonas.sp900552475</t>
  </si>
  <si>
    <t>d__Bacteria.p__Bacillota_A.c__Clostridia.o__Lachnospirales.f__Lachnospiraceae.g__Coprococcus.s__Coprococcus.aceti</t>
  </si>
  <si>
    <t>d__Bacteria.p__Bacillota_A.c__Clostridia.o__Oscillospirales.f__Ruminococcaceae.g__Faecalibacterium.s__Faecalibacterium.prausnitzii_D</t>
  </si>
  <si>
    <t>d__Bacteria.p__Pseudomonadota.c__Gammaproteobacteria.o__Burkholderiales.f__Burkholderiaceae.g__Parasutterella.s__Parasutterella.sp900552195</t>
  </si>
  <si>
    <t>d__Bacteria.p__Bacillota_A.c__Clostridia.o__Oscillospirales.f__Ruminococcaceae.g__Zongyangia.s__Zongyangia.gallinarum</t>
  </si>
  <si>
    <t>d__Bacteria.p__Bacillota_A.c__Clostridia.o__Oscillospirales.f__Ruminococcaceae.g__Negativibacillus.s__Negativibacillus.sp000435195</t>
  </si>
  <si>
    <t>d__Bacteria.p__Actinomycetota.c__Actinomycetes.o__Actinomycetales.f__Bifidobacteriaceae.g__Bifidobacterium.s__Bifidobacterium.bifidum</t>
  </si>
  <si>
    <t>d__Bacteria.p__Bacillota_A.c__Clostridia.o__Oscillospirales.f__Oscillospiraceae.g__Lawsonibacter.s__Lawsonibacter.aceti</t>
  </si>
  <si>
    <t>d__Bacteria.p__Bacillota_A.c__Clostridia.o__Oscillospirales.f__Oscillospiraceae.g__UBA738.s__UBA738.sp003522945</t>
  </si>
  <si>
    <t>d__Bacteria.p__Bacillota_I.c__Bacilli_A.o__Erysipelotrichales.f__Coprobacillaceae.g__Thomasclavelia.s__Thomasclavelia.spiroformis</t>
  </si>
  <si>
    <t>d__Bacteria.p__Bacteroidota.c__Bacteroidia.o__Bacteroidales.f__Bacteroidaceae.g__Bacteroides.s__Bacteroides.fragilis</t>
  </si>
  <si>
    <t>d__Bacteria.p__Bacillota_A.c__Clostridia.o__Christensenellales.f__Aristaeellaceae.g__Pullichristensenella.s__Pullichristensenella.stercoripullorum</t>
  </si>
  <si>
    <t>d__Bacteria.p__Bacillota_A.c__Clostridia.o__Lachnospirales.f__Lachnospiraceae.g__Wujia.s__Wujia.chipingensis</t>
  </si>
  <si>
    <t>d__Bacteria.p__Bacillota_A.c__Clostridia.o__Oscillospirales.f__Oscillospiraceae.g__HGM13006.s__HGM13006.sp900757695</t>
  </si>
  <si>
    <t>d__Bacteria.p__Bacillota_A.c__Clostridia.o__Oscillospirales.f__Oscillospiraceae.g__Hominicoprocola.s__Hominicoprocola.sp900317525</t>
  </si>
  <si>
    <t>d__Bacteria.p__Bacteroidota.c__Bacteroidia.o__Bacteroidales.f__Bacteroidaceae.g__Bacteroides.s__Bacteroides.xylanisolvens</t>
  </si>
  <si>
    <t>d__Bacteria.p__Bacillota_A.c__Clostridia.o__Christensenellales.f__CAG.314.g__CAG.314.s__CAG.314.sp000437915</t>
  </si>
  <si>
    <t>d__Bacteria.p__Bacillota_A.c__Clostridia.o__Oscillospirales.f__Oscillospiraceae.g__Intestinimonas.s__Intestinimonas.butyriciproducens</t>
  </si>
  <si>
    <t>d__Bacteria.p__Bacteroidota.c__Bacteroidia.o__Bacteroidales.f__Bacteroidaceae.g__Phocaeicola.s__Phocaeicola.dorei</t>
  </si>
  <si>
    <t>d__Bacteria.p__Bacillota_A.c__Clostridia.o__Lachnospirales.f__Lachnospiraceae.g__Blautia_A.s__Blautia_A.sp934394595</t>
  </si>
  <si>
    <t>d__Bacteria.p__Bacillota_A.c__Clostridia.o__Lachnospirales.f__Lachnospiraceae.g__Agathobacter.s__Agathobacter.sp000434275</t>
  </si>
  <si>
    <t>d__Bacteria.p__Bacillota_A.c__Clostridia.o__Lachnospirales.f__Lachnospiraceae.g__Lachnospira.s__Lachnospira.eligens</t>
  </si>
  <si>
    <t>d__Bacteria.p__Bacillota_A.c__Clostridia.o__Oscillospirales.f__Ruminococcaceae.g__UBA3818.s__UBA3818.sp900557155</t>
  </si>
  <si>
    <t>d__Bacteria.p__Bacillota_A.c__Clostridia.o__Lachnospirales.f__CAG.274.g__CAG.274.s__CAG.274.sp900545305</t>
  </si>
  <si>
    <t>d__Bacteria.p__Bacillota_A.c__Clostridia.o__Lachnospirales.f__Lachnospiraceae.g__Acetatifactor.s__Acetatifactor.intestinalis</t>
  </si>
  <si>
    <t>d__Bacteria.p__Bacillota_A.c__Clostridia.o__Oscillospirales.f__Oscillospiraceae.g__Dysosmobacter.s__Dysosmobacter.welbionis</t>
  </si>
  <si>
    <t>d__Bacteria.p__Bacillota_A.c__Clostridia.o__Oscillospirales.f__Oscillospiraceae.g__F23.B02.s__F23.B02.sp001916715</t>
  </si>
  <si>
    <t>d__Bacteria.p__Bacillota_A.c__Clostridia.o__Oscillospirales.f__Oscillospiraceae.g__Faecousia.s__Faecousia.sp000434635</t>
  </si>
  <si>
    <t>d__Bacteria.p__Bacillota_A.c__Clostridia.o__Peptostreptococcales.f__Peptostreptococcaceae.g__Intestinibacter.s__Intestinibacter.bartlettii</t>
  </si>
  <si>
    <t>d__Bacteria.p__Bacillota_A.c__Clostridia.o__Lachnospirales.f__Lachnospiraceae.g__Otoolea.s__Otoolea.symbiosa</t>
  </si>
  <si>
    <t>d__Bacteria.p__Bacteroidota.c__Bacteroidia.o__Bacteroidales.f__Barnesiellaceae.g__Barnesiella.s__Barnesiella.intestinihominis</t>
  </si>
  <si>
    <t>d__Bacteria.p__Bacillota_A.c__Clostridia.o__Christensenellales.f__Aristaeellaceae.g__UBA11524.s__UBA11524.sp000437595</t>
  </si>
  <si>
    <t>d__Bacteria.p__Bacillota_A.c__Clostridia.o__Lachnospirales.f__Lachnospiraceae.g__Anaerostipes.s__Anaerostipes.amylophilus</t>
  </si>
  <si>
    <t>d__Bacteria.p__Bacteroidota.c__Bacteroidia.o__Bacteroidales.f__Bacteroidaceae.g__Paraprevotella.s__Paraprevotella.clara</t>
  </si>
  <si>
    <t>d__Bacteria.p__Bacillota_A.c__Clostridia.o__Oscillospirales.f__Ruminococcaceae.g__Angelakisella.s__Angelakisella.sp900547385</t>
  </si>
  <si>
    <t>d__Bacteria.p__Desulfobacterota.c__Desulfovibrionia.o__Desulfovibrionales.f__Desulfovibrionaceae.g__Desulfovibrio.s__Desulfovibrio.sp018379785</t>
  </si>
  <si>
    <t>d__Bacteria.p__Bacillota_A.c__Clostridia.o__Christensenellales.f__CAG.138.g__UBA1685.s__UBA1685.sp002320595</t>
  </si>
  <si>
    <t>d__Bacteria.p__Bacillota_A.c__Clostridia.o__Oscillospirales.f__Ruminococcaceae.g__Anaerotruncus.s__Anaerotruncus.colihominis</t>
  </si>
  <si>
    <t>d__Bacteria.p__Bacillota_A.c__Clostridia.o__Lachnospirales.f__Lachnospiraceae.g__UBA4285.s__UBA4285.sp900545225</t>
  </si>
  <si>
    <t>d__Bacteria.p__Verrucomicrobiota.c__Verrucomicrobiae.o__Verrucomicrobiales.f__Akkermansiaceae.g__Akkermansia.s__Akkermansia.muciniphila</t>
  </si>
  <si>
    <t>d__Bacteria.p__Bacteroidota.c__Bacteroidia.o__Bacteroidales.f__Bacteroidaceae.g__Bacteroides.s__Bacteroides.cellulosilyticus</t>
  </si>
  <si>
    <t>d__Bacteria.p__Bacillota_A.c__Clostridia.o__Lachnospirales.f__Lachnospiraceae.g__Coprococcus_A.s__Coprococcus_A.catus_A</t>
  </si>
  <si>
    <t>d__Bacteria.p__Bacillota_A.c__Clostridia.o__Lachnospirales.f__Lachnospiraceae.g__Dorea_A.s__Dorea_A.amylophila</t>
  </si>
  <si>
    <t>d__Bacteria.p__Bacillota_A.c__Clostridia.o__Lachnospirales.f__Lachnospiraceae.g__Mediterraneibacter_A.s__Mediterraneibacter_A.butyricigenes</t>
  </si>
  <si>
    <t>d__Bacteria.p__Pseudomonadota.c__Gammaproteobacteria.o__Burkholderiales.f__Burkholderiaceae.g__Parasutterella.s__Parasutterella.gallistercoris</t>
  </si>
  <si>
    <t>d__Bacteria.p__Bacillota_A.c__Clostridia.o__Christensenellales.f__Aristaeellaceae.g__Pullichristensenella.s__Pullichristensenella.sp946496415</t>
  </si>
  <si>
    <t>d__Bacteria.p__Bacillota_A.c__Clostridia.o__Christensenellales.f__QAND01.g__QAND01.s__QAND01.sp003150225</t>
  </si>
  <si>
    <t>d__Bacteria.p__Bacillota_A.c__Clostridia.o__Lachnospirales.f__Lachnospiraceae.g__Roseburia_C.s__Roseburia_C.amylophila</t>
  </si>
  <si>
    <t>d__Bacteria.p__Bacillota_A.c__Clostridia.o__Oscillospirales.f__Oscillospiraceae.g__Lawsonibacter_A.s__Lawsonibacter_A.hominis</t>
  </si>
  <si>
    <t>d__Bacteria.p__Bacillota_A.c__Clostridia.o__Oscillospirales.f__Oscillospiraceae.g__Vescimonas.s__Vescimonas.cirricatena</t>
  </si>
  <si>
    <t>d__Bacteria.p__Bacillota_A.c__Clostridia.o__Lachnospirales.f__Lachnospiraceae.g__Blautia_A.s__Blautia_A.faecis</t>
  </si>
  <si>
    <t>d__Bacteria.p__Bacillota.c__Bacilli.o__Lactobacillales.f__Streptococcaceae.g__Streptococcus.s__Streptococcus.parasanguinis_G</t>
  </si>
  <si>
    <t>d__Bacteria.p__Bacillota_A.c__Clostridia.o__Lachnospirales.f__Lachnospiraceae.g__Blautia_A.s__Blautia_A.sp900120195</t>
  </si>
  <si>
    <t>d__Bacteria.p__Bacteroidota.c__Bacteroidia.o__Bacteroidales.f__Rikenellaceae.g__Alistipes_A.s__Alistipes_A.indistinctus</t>
  </si>
  <si>
    <t>d__Bacteria.p__Bacillota_A.c__Clostridia.o__Lachnospirales.f__Lachnospiraceae.g__Lachnoclostridium_B.s__Lachnoclostridium_B.acetigenes</t>
  </si>
  <si>
    <t>d__Bacteria.p__Bacillota_A.c__Clostridia.o__Oscillospirales.f__Oscillospiraceae.g__CAG.170.s__CAG.170.sp900553545</t>
  </si>
  <si>
    <t>d__Bacteria.p__Bacillota_A.c__Clostridia.o__Oscillospirales.f__Oscillospiraceae.g__Dysosmobacter.s__Dysosmobacter.faecalis</t>
  </si>
  <si>
    <t>d__Bacteria.p__Bacillota_I.c__Bacilli_A.o__Erysipelotrichales.f__Coprobacillaceae.g__Coprobacillus.s__Coprobacillus.cateniformis</t>
  </si>
  <si>
    <t>d__Bacteria.p__Bacillota_A.c__Clostridia.o__Lachnospirales.f__Lachnospiraceae.g__Eubacterium_G.s__Eubacterium_G.sp000434315</t>
  </si>
  <si>
    <t>d__Bacteria.p__Bacillota_A.c__Clostridia.o__Peptostreptococcales.f__Anaerovoracaceae.g__Fimisoma.s__Fimisoma.avicola</t>
  </si>
  <si>
    <t>d__Bacteria.p__Bacillota_A.c__Clostridia.o__Lachnospirales.f__Lachnospiraceae.g__Blautia_A.s__Blautia_A.sp900548245</t>
  </si>
  <si>
    <t>d__Bacteria.p__Bacillota_A.c__Clostridia.o__Oscillospirales.f__Acutalibacteraceae.g__Acutalibacter.s__Acutalibacter.ornithocaccae</t>
  </si>
  <si>
    <t>d__Bacteria.p__Bacillota_A.c__Clostridia.o__Oscillospirales.f__Oscillospiraceae.g__Faecousia.s__Faecousia.sp003525905</t>
  </si>
  <si>
    <t>d__Bacteria.p__Bacillota_A.c__Clostridia.o__Lachnospirales.f__Lachnospiraceae.g__Dorea_D.s__Dorea_D.sp000433535</t>
  </si>
  <si>
    <t>d__Bacteria.p__Bacillota_A.c__Clostridia.o__Christensenellales.f__Aristaeellaceae.g__Egerieenecus.s__Egerieenecus.sp900553315</t>
  </si>
  <si>
    <t>d__Bacteria.p__Bacillota_A.c__Clostridia.o__Clostridiales.f__Clostridiaceae.g__Clostridium.s__Clostridium.sp900540255</t>
  </si>
  <si>
    <t>d__Bacteria.p__Bacillota_A.c__Clostridia.o__Lachnospirales.f__Lachnospiraceae.g__CAG.194.s__CAG.194.sp000432915</t>
  </si>
  <si>
    <t>d__Bacteria.p__Bacillota_A.c__Clostridia.o__Lachnospirales.f__Lachnospiraceae.g__Mediterraneibacter.s__Mediterraneibacter.sp934330165</t>
  </si>
  <si>
    <t>d__Bacteria.p__Bacillota_A.c__Clostridia.o__Oscillospirales.f__Acutalibacteraceae.g__Acutalibacter.s__Acutalibacter.sp900548545</t>
  </si>
  <si>
    <t>d__Bacteria.p__Bacillota_A.c__Clostridia.o__Oscillospirales.f__Oscillospiraceae.g__Hominicoprocola.s__Hominicoprocola.sp934835795</t>
  </si>
  <si>
    <t>d__Bacteria.p__Bacillota_A.c__Clostridia.o__Oscillospirales.f__Oscillospiraceae.g__Lawsonibacter.s__Lawsonibacter.asaccharolyticus</t>
  </si>
  <si>
    <t>d__Bacteria.p__Bacillota_A.c__Clostridia.o__Peptostreptococcales.f__Anaerovoracaceae.g__CAG.238.s__CAG.238.sp900542245</t>
  </si>
  <si>
    <t>d__Bacteria.p__Bacteroidota.c__Bacteroidia.o__Bacteroidales.f__Bacteroidaceae.g__Phocaeicola.s__Phocaeicola.vulgatus</t>
  </si>
  <si>
    <t>d__Bacteria.p__Bacteroidota.c__Bacteroidia.o__Bacteroidales.f__Rikenellaceae.g__Alistipes.s__Alistipes.dispar</t>
  </si>
  <si>
    <t>d__Bacteria.p__Cyanobacteriota.c__Vampirovibrionia.o__Gastranaerophilales.f__Gastranaerophilaceae.g__CAG.196.s__CAG.196.sp002102975</t>
  </si>
  <si>
    <t>d__Bacteria.p__Bacillota_A.c__Clostridia.o__TANB77.f__CAG.508.g__Merdicola.s__Merdicola.sp018371855</t>
  </si>
  <si>
    <t>d__Bacteria.p__Bacillota_A.c__Clostridia.o__Christensenellales.f__CAG.138.g__SFEL01.s__SFEL01.sp004557245</t>
  </si>
  <si>
    <t>d__Bacteria.p__Bacillota_A.c__Clostridia.o__Lachnospirales.f__Lachnospiraceae.g__Anaerobutyricum.s__Anaerobutyricum.hallii</t>
  </si>
  <si>
    <t>d__Bacteria.p__Bacillota_A.c__Clostridia.o__Lachnospirales.f__Lachnospiraceae.g__Dorea_D.s__Dorea_D.hominis</t>
  </si>
  <si>
    <t>d__Bacteria.p__Bacillota_A.c__Clostridia.o__Peptostreptococcales.f__Anaerovoracaceae.g__Hominibacterium.s__Hominibacterium.hominis</t>
  </si>
  <si>
    <t>d__Bacteria.p__Bacteroidota.c__Bacteroidia.o__Bacteroidales.f__Bacteroidaceae.g__Bacteroides.s__Bacteroides.thetaiotaomicron</t>
  </si>
  <si>
    <t>d__Bacteria.p__Bacillota_A.c__Clostridia.o__Lachnospirales.f__Lachnospiraceae.g__UBA11774.s__UBA11774.sp003507655</t>
  </si>
  <si>
    <t>d__Bacteria.p__Bacteroidota.c__Bacteroidia.o__Bacteroidales.f__Tannerellaceae.g__Parabacteroides.s__Parabacteroides.segnis</t>
  </si>
  <si>
    <t>d__Bacteria.p__Bacillota_A.c__Clostridia.o__Oscillospirales.f__Ruminococcaceae.g__Anaerotruncus.s__Anaerotruncus.massiliensis</t>
  </si>
  <si>
    <t>d__Bacteria.p__Bacillota_A.c__Clostridia.o__Lachnospirales.f__Lachnospiraceae.g__JAGZHZ01.s__JAGZHZ01.sp018366495</t>
  </si>
  <si>
    <t>d__Bacteria.p__Bacillota_A.c__Clostridia.o__Oscillospirales.f__Oscillospiraceae.g__CAG.170.s__CAG.170.sp000432135</t>
  </si>
  <si>
    <t>d__Bacteria.p__Bacteroidota.c__Bacteroidia.o__Bacteroidales.f__Bacteroidaceae.g__Bacteroides.s__Bacteroides.ovatus</t>
  </si>
  <si>
    <t>d__Bacteria.p__Bacillota_A.c__Clostridia.o__Lachnospirales.f__Lachnospiraceae.g__Choladousia.s__Choladousia.sp902363135</t>
  </si>
  <si>
    <t>d__Bacteria.p__Pseudomonadota.c__Gammaproteobacteria.o__Burkholderiales.f__Burkholderiaceae.g__Sutterella.s__Sutterella.wadsworthensis_A</t>
  </si>
  <si>
    <t>d__Bacteria.p__Bacillota_A.c__Clostridia.o__Christensenellales.f__Aristaeellaceae.g__Ventricola.s__Ventricola.sp900548125</t>
  </si>
  <si>
    <t>d__Bacteria.p__Bacillota_A.c__Clostridia.o__Lachnospirales.f__Lachnospiraceae.g__Massilistercora.s__Massilistercora.sp902406105</t>
  </si>
  <si>
    <t>d__Bacteria.p__Bacillota_A.c__Clostridia.o__Lachnospirales.f__Lachnospiraceae.g__Oliverpabstia.s__Oliverpabstia.intestinalis</t>
  </si>
  <si>
    <t>d__Bacteria.p__Bacillota_A.c__Clostridia.o__Oscillospirales.f__Ruminococcaceae.g__Avimicrobium.s__Avimicrobium.caecorum</t>
  </si>
  <si>
    <t>d__Bacteria.p__Bacillota_A.c__Clostridia.o__Oscillospirales.f__Ruminococcaceae.g__Negativibacillus.s__Negativibacillus.faecipullorum</t>
  </si>
  <si>
    <t>d__Bacteria.p__Bacteroidota.c__Bacteroidia.o__Bacteroidales.f__Rikenellaceae.g__Alistipes.s__Alistipes.senegalensis</t>
  </si>
  <si>
    <t>d__Bacteria.p__Verrucomicrobiota.c__Verrucomicrobiae.o__Verrucomicrobiales.f__Akkermansiaceae.g__Akkermansia.s__Akkermansia.muciniphila_F</t>
  </si>
  <si>
    <t>d__Bacteria.p__Bacillota_A.c__Clostridia.o__Lachnospirales.f__Lachnospiraceae.g__Eubacterium_G.s__Eubacterium_G.segne</t>
  </si>
  <si>
    <t>d__Bacteria.p__Bacillota_A.c__Clostridia.o__Oscillospirales.f__Oscillospiraceae.g__Evtepia.s__Evtepia.excrementipullorum</t>
  </si>
  <si>
    <t>d__Bacteria.p__Bacillota_A.c__Clostridia.o__Oscillospirales.f__Ruminococcaceae.g__Gemmiger.s__Gemmiger.sp900540595</t>
  </si>
  <si>
    <t>d__Bacteria.p__Bacillota_A.c__Clostridia.o__Oscillospirales.f__Ruminococcaceae.g__Porcipelethomonas.s__Porcipelethomonas.ammoniilytica</t>
  </si>
  <si>
    <t>d__Bacteria.p__Bacteroidota.c__Bacteroidia.o__Bacteroidales.f__Marinifilaceae.g__Odoribacter.s__Odoribacter.laneus</t>
  </si>
  <si>
    <t>d__Bacteria.p__Actinomycetota.c__Coriobacteriia.o__Coriobacteriales.f__Eggerthellaceae.g__CAJFUR01.s__CAJFUR01.sp904420575</t>
  </si>
  <si>
    <t>d__Bacteria.p__Bacillota_A.c__Clostridia.o__Oscillospirales.f__Oscillospiraceae.g__Evtepia.s__Evtepia.sp004556345</t>
  </si>
  <si>
    <t>d__Bacteria.p__Bacteroidota.c__Bacteroidia.o__Bacteroidales.f__Bacteroidaceae.g__Bacteroides.s__Bacteroides.salyersiae</t>
  </si>
  <si>
    <t>d__Bacteria.p__Bacteroidota.c__Bacteroidia.o__Bacteroidales.f__Rikenellaceae.g__Alistipes.s__Alistipes.putredinis</t>
  </si>
  <si>
    <t>d__Bacteria.p__Bacteroidota.c__Bacteroidia.o__Bacteroidales.f__Bacteroidaceae.g__Bacteroides.s__Bacteroides.caccae</t>
  </si>
  <si>
    <t>d__Bacteria.p__Bacillota_A.c__Clostridia.o__Oscillospirales.f__UBA644.g__UBA644.s__UBA644.sp900547165</t>
  </si>
  <si>
    <t>d__Bacteria.p__Bacillota_A.c__Clostridia.o__Christensenellales.f__Aristaeellaceae.g__Egerieenecus.s__Egerieenecus.merdigallinarum</t>
  </si>
  <si>
    <t>d__Bacteria.p__Bacillota_A.c__Clostridia.o__Clostridiales.f__Clostridiaceae.g__Clostridium.s__Clostridium.saudiense</t>
  </si>
  <si>
    <t>d__Bacteria.p__Bacillota_A.c__Clostridia.o__Oscillospirales.f__Oscillospiraceae.g__Scatomorpha.s__Scatomorpha.sp900545405</t>
  </si>
  <si>
    <t>d__Bacteria.p__Bacteroidota.c__Bacteroidia.o__Bacteroidales.f__Bacteroidaceae.g__Bacteroides.s__Bacteroides.zhangwenhongii</t>
  </si>
  <si>
    <t>d__Bacteria.p__Bacteroidota.c__Bacteroidia.o__Bacteroidales.f__Tannerellaceae.g__Parabacteroides.s__Parabacteroides.distasonis</t>
  </si>
  <si>
    <t>d__Archaea.p__Methanobacteriota.c__Methanobacteria.o__Methanobacteriales.f__Methanobacteriaceae.g__Methanobrevibacter_A.s__Methanobrevibacter_A.smithii</t>
  </si>
  <si>
    <t>d__Bacteria.p__Bacteroidota.c__Bacteroidia.o__Bacteroidales.f__Tannerellaceae.g__Parabacteroides.s__Parabacteroides.johnsonii</t>
  </si>
  <si>
    <t>d__Bacteria.p__Bacillota_A.c__Clostridia.o__Peptostreptococcales.f__Peptostreptococcaceae.g__Terrisporobacter.s__Terrisporobacter.sp900557165</t>
  </si>
  <si>
    <t>d__Bacteria.p__Bacillota_C.c__Negativicutes.o__Veillonellales.f__Dialisteraceae.g__Dialister.s__Dialister.invisus</t>
  </si>
  <si>
    <t>d__Bacteria.p__Bacillota_A.c__Clostridia.o__Christensenellales.f__Aristaeellaceae.g__Fimadaptatus.s__Fimadaptatus.sp900553645</t>
  </si>
  <si>
    <t>d__Bacteria.p__Bacillota_A.c__Clostridia.o__Christensenellales.f__Aristaeellaceae.g__RUG11247.s__RUG11247.sp902767315</t>
  </si>
  <si>
    <t>d__Bacteria.p__Bacillota_A.c__Clostridia.o__Christensenellales.f__UMGS416.g__Parachristensenella.s__Parachristensenella.sp900542005</t>
  </si>
  <si>
    <t>d__Bacteria.p__Bacillota_A.c__Clostridia.o__Lachnospirales.f__Lachnospiraceae.g__Blautia_A.s__Blautia_A.fusiformis</t>
  </si>
  <si>
    <t>d__Bacteria.p__Bacillota_A.c__Clostridia.o__Oscillospirales.f__Oscillospiraceae.g__CAG.170.s__CAG.170.sp003516765</t>
  </si>
  <si>
    <t>d__Bacteria.p__Bacillota.c__Bacilli.o__MOL361.f__Turicibacteraceae.g__Turicibacter.s__Turicibacter.bilis</t>
  </si>
  <si>
    <t>d__Bacteria.p__Bacillota_A.c__Clostridia.o__Lachnospirales.f__Lachnospiraceae.g__Blautia_A.s__Blautia_A.intestinalis</t>
  </si>
  <si>
    <t>d__Bacteria.p__Desulfobacterota.c__Desulfovibrionia.o__Desulfovibrionales.f__Desulfovibrionaceae.g__Bilophila.s__Bilophila.wadsworthia</t>
  </si>
  <si>
    <t>d__Bacteria.p__Actinomycetota.c__Actinomycetes.o__Actinomycetales.f__Bifidobacteriaceae.g__Bifidobacterium.s__Bifidobacterium.dentium</t>
  </si>
  <si>
    <t>d__Bacteria.p__Bacillota_A.c__Clostridia.o__Lachnospirales.f__Lachnospiraceae.g__Eubacterium_G.s__Eubacterium_G.sp000435815</t>
  </si>
  <si>
    <t>d__Bacteria.p__Bacillota_G.c__DTU025.o__DTUO25.f__HGM14224.g__HGM14224.s__HGM14224.sp900761905</t>
  </si>
  <si>
    <t>d__Bacteria.p__Bacillota_A.c__Clostridia.o__Christensenellales.f__Aristaeellaceae.g__Alectryocaccomicrobium.s__Alectryocaccomicrobium.faecavium</t>
  </si>
  <si>
    <t>d__Bacteria.p__Bacillota_A.c__Clostridia.o__Christensenellales.f__Aristaeellaceae.g__Limiplasma.s__Limiplasma.merdipullorum</t>
  </si>
  <si>
    <t>d__Bacteria.p__Bacillota_A.c__Clostridia.o__Clostridiales.f__Clostridiaceae.g__Clostridium.s__Clostridium.sp000435835</t>
  </si>
  <si>
    <t>d__Bacteria.p__Bacillota_A.c__Clostridia.o__Lachnospirales.f__Lachnospiraceae.g__Blautia_A.s__Blautia_A.luti</t>
  </si>
  <si>
    <t>d__Bacteria.p__Bacillota_A.c__Clostridia.o__Lachnospirales.f__Lachnospiraceae.g__Choladousia.s__Choladousia.sp902363665</t>
  </si>
  <si>
    <t>d__Bacteria.p__Bacillota_A.c__Clostridia.o__Lachnospirales.f__Lachnospiraceae.g__Eubacterium_I.s__Eubacterium_I.ramulus_A</t>
  </si>
  <si>
    <t>d__Bacteria.p__Bacillota_A.c__Clostridia.o__Oscillospirales.f__Acutalibacteraceae.g__Acutalibacter.s__Acutalibacter.timonensis</t>
  </si>
  <si>
    <t>d__Bacteria.p__Bacillota_A.c__Clostridia.o__Oscillospirales.f__Acutalibacteraceae.g__Hominenteromicrobium.s__Hominenteromicrobium.mulieris</t>
  </si>
  <si>
    <t>d__Bacteria.p__Bacillota_A.c__Clostridia.o__Oscillospirales.f__Oscillospiraceae.g__Faecousia.s__Faecousia.sp958436045</t>
  </si>
  <si>
    <t>d__Bacteria.p__Bacillota_A.c__Clostridia.o__Oscillospirales.f__Oscillospiraceae.g__Vescimonas.s__Vescimonas.sp900545585</t>
  </si>
  <si>
    <t>d__Bacteria.p__Bacillota_A.c__Clostridia.o__Oscillospirales.f__Ruminococcaceae.g__Negativibacillus.s__Negativibacillus.massiliensis</t>
  </si>
  <si>
    <t>d__Bacteria.p__Bacillota_A.c__Clostridia.o__Lachnospirales.f__Lachnospiraceae.g__Eisenbergiella.s__Eisenbergiella.tayi</t>
  </si>
  <si>
    <t>d__Bacteria.p__Actinomycetota.c__Coriobacteriia.o__Coriobacteriales.f__UMGS124.g__JAHZGC01.s__JAHZGC01.sp019421015</t>
  </si>
  <si>
    <t>d__Bacteria.p__Bacillota_A.c__Clostridia.o__Lachnospirales.f__Lachnospiraceae.g__Dorea.s__Dorea.formicigenerans</t>
  </si>
  <si>
    <t>d__Bacteria.p__Bacillota_A.c__Clostridia.o__Oscillospirales.f__CAG.382.g__Woodwardibium.s__Woodwardibium.gallinarum</t>
  </si>
  <si>
    <t>d__Bacteria.p__Bacillota_A.c__Clostridia.o__Oscillospirales.f__Oscillospiraceae.g__Vescimonas.s__Vescimonas.sp000435975</t>
  </si>
  <si>
    <t>d__Bacteria.p__Bacillota_A.c__Clostridia.o__TANB77.f__CAG.508.g__CAG.273.s__CAG.273.sp000438355</t>
  </si>
  <si>
    <t>d__Bacteria.p__Bacteroidota.c__Bacteroidia.o__Bacteroidales.f__Coprobacteraceae.g__Coprobacter.s__Coprobacter.fastidiosus</t>
  </si>
  <si>
    <t>d__Bacteria.p__Bacillota_A.c__Clostridia.o__Lachnospirales.f__Lachnospiraceae.g__V9D3004.s__V9D3004.sp900760345</t>
  </si>
  <si>
    <t>d__Bacteria.p__Actinomycetota.c__Coriobacteriia.o__Coriobacteriales.f__Eggerthellaceae.g__Anaerotardibacter.s__Anaerotardibacter.sp000435675</t>
  </si>
  <si>
    <t>d__Bacteria.p__Bacillota_A.c__Clostridia.o__Christensenellales.f__Aristaeellaceae.g__Limiplasma.s__Limiplasma.sp900548145</t>
  </si>
  <si>
    <t>d__Bacteria.p__Bacillota_A.c__Clostridia.o__Lachnospirales.f__Lachnospiraceae.g__Anaerobutyricum.s__Anaerobutyricum.soehngenii</t>
  </si>
  <si>
    <t>d__Bacteria.p__Bacillota_A.c__Clostridia.o__Lachnospirales.f__Lachnospiraceae.g__Blautia_A.s__Blautia_A.sp900066205</t>
  </si>
  <si>
    <t>d__Bacteria.p__Bacillota_A.c__Clostridia.o__Lachnospirales.f__Lachnospiraceae.g__Brotaphodocola.s__</t>
  </si>
  <si>
    <t>d__Bacteria.p__Bacillota_A.c__Clostridia.o__Lachnospirales.f__Lachnospiraceae.g__Schaedlerella.s__Schaedlerella.hominis</t>
  </si>
  <si>
    <t>d__Bacteria.p__Bacillota_A.c__Clostridia.o__Oscillospirales.f__Acutalibacteraceae.g__Fimenecus.s__Fimenecus.sp000432435</t>
  </si>
  <si>
    <t>d__Bacteria.p__Bacillota_A.c__Clostridia.o__Oscillospirales.f__CAG.272.g__UMGS911.s__UMGS911.sp003343545</t>
  </si>
  <si>
    <t>d__Bacteria.p__Bacillota_A.c__Clostridia.o__Oscillospirales.f__Oscillospiraceae.g__CAG.103.s__CAG.103.sp900317855</t>
  </si>
  <si>
    <t>d__Bacteria.p__Bacillota_A.c__Clostridia.o__Oscillospirales.f__Oscillospiraceae.g__CAG.170.s__CAG.170.sp900545925</t>
  </si>
  <si>
    <t>d__Bacteria.p__Bacillota_A.c__Clostridia.o__Oscillospirales.f__Oscillospiraceae.g__HGM13006.s__HGM13006.sp900756575</t>
  </si>
  <si>
    <t>d__Bacteria.p__Bacillota_A.c__Clostridia.o__Oscillospirales.f__Oscillospiraceae.g__Pseudoscilispira.s__Pseudoscilispira.sp018369915</t>
  </si>
  <si>
    <t>d__Bacteria.p__Bacillota_A.c__Clostridia.o__Oscillospirales.f__Oscillospiraceae.g__Scatomorpha.s__Scatomorpha.intestinigallinarum</t>
  </si>
  <si>
    <t>d__Bacteria.p__Bacillota_A.c__Clostridia.o__Oscillospirales.f__Ruminococcaceae.g__Ruminococcus_C.s__Ruminococcus_C.sp000980705</t>
  </si>
  <si>
    <t>d__Bacteria.p__Bacillota_A.c__Clostridia.o__TANB77.f__CAG.508.g__CAG.273.s__CAG.273.sp003534295</t>
  </si>
  <si>
    <t>d__Bacteria.p__Bacteroidota.c__Bacteroidia.o__Bacteroidales.f__Bacteroidaceae.g__Bacteroides.s__Bacteroides.clarus</t>
  </si>
  <si>
    <t>d__Bacteria.p__Bacteroidota.c__Bacteroidia.o__Bacteroidales.f__Bacteroidaceae.g__Bacteroides.s__Bacteroides.eggerthii</t>
  </si>
  <si>
    <t>d__Bacteria.p__Bacteroidota.c__Bacteroidia.o__Bacteroidales.f__Marinifilaceae.g__Butyricimonas.s__Butyricimonas.paravirosa</t>
  </si>
  <si>
    <t>d__Bacteria.p__Bacteroidota.c__Bacteroidia.o__Bacteroidales.f__Marinifilaceae.g__Butyricimonas.s__Butyricimonas.sp019423345</t>
  </si>
  <si>
    <t>d__Bacteria.p__Verrucomicrobiota.c__Verrucomicrobiae.o__Verrucomicrobiales.f__Akkermansiaceae.g__Akkermansia.s__Akkermansia.biwaensis</t>
  </si>
  <si>
    <t>d__Bacteria.p__Actinomycetota.c__Coriobacteriia.o__Coriobacteriales.f__Eggerthellaceae.g__Anaerotardibacter.s__Anaerotardibacter.sp000436075</t>
  </si>
  <si>
    <t>d__Bacteria.p__Bacillota_A.c__Clostridia.o__Christensenellales.f__Aristaeellaceae.g__Pullichristensenella.s__Pullichristensenella.excrementigallinarum</t>
  </si>
  <si>
    <t>d__Bacteria.p__Bacillota_A.c__Clostridia.o__Oscillospirales.f__Oscillospiraceae.g__Hominicoprocola.s__Hominicoprocola.sp003522105</t>
  </si>
  <si>
    <t>d__Bacteria.p__Bacillota_A.c__Clostridia.o__TANB77.f__CAG.508.g__CAG.245.s__CAG.245.sp000435175</t>
  </si>
  <si>
    <t>d__Bacteria.p__Bacillota_C.c__Negativicutes.o__Acidaminococcales.f__Acidaminococcaceae.g__Phascolarctobacterium.s__Phascolarctobacterium.faecium</t>
  </si>
  <si>
    <t>d__Bacteria.p__Bacteroidota.c__Bacteroidia.o__Bacteroidales.f__Bacteroidaceae.g__Phocaeicola.s__Phocaeicola.massiliensis</t>
  </si>
  <si>
    <t>d__Bacteria.p__Bacteroidota.c__Bacteroidia.o__Bacteroidales.f__Bacteroidaceae.g__Bacteroides.s__Bacteroides.sp900557355</t>
  </si>
  <si>
    <t>d__Bacteria.p__Bacteroidota.c__Bacteroidia.o__Bacteroidales.f__Bacteroidaceae.g__Bacteroides.s__Bacteroides.stercoris</t>
  </si>
  <si>
    <t>d__Bacteria.p__Bacillota_A.c__Clostridia.o__Oscillospirales.f__Acutalibacteraceae.g__CAG.217.s__</t>
  </si>
  <si>
    <t>d__Bacteria.p__Bacillota_A.c__Clostridia.o__Oscillospirales.f__Acutalibacteraceae.g__Fimivicinus.s__Fimivicinus.sp900544375</t>
  </si>
  <si>
    <t>d__Bacteria.p__Bacillota_A.c__Clostridia.o__Oscillospirales.f__CAG.382.g__Woodwardibium.s__Woodwardibium.sp900760275</t>
  </si>
  <si>
    <t>d__Bacteria.p__Bacteroidota.c__Bacteroidia.o__Bacteroidales.f__Bacteroidaceae.g__Bacteroides.s__Bacteroides.uniformis</t>
  </si>
  <si>
    <t>d__Bacteria.p__Bacteroidota.c__Bacteroidia.o__Bacteroidales.f__Bacteroidaceae.g__Bacteroides.s__Bacteroides.faecis</t>
  </si>
  <si>
    <t>d__Bacteria.p__Bacillota_A.c__Clostridia.o__Lachnospirales.f__Lachnospiraceae.g__Blautia_A.s__Blautia_A.sp000436615</t>
  </si>
  <si>
    <t>d__Bacteria.p__Bacteroidota.c__Bacteroidia.o__Bacteroidales.f__Rikenellaceae.g__Alistipes.s__Alistipes.finegoldii</t>
  </si>
  <si>
    <t>d__Bacteria.p__Bacillota_A.c__Clostridia.o__Oscillospirales.f__Acutalibacteraceae.g__Eubacterium_R.s__Eubacterium_R.sp000434995</t>
  </si>
  <si>
    <t>d__Bacteria.p__Bacillota_A.c__Clostridia.o__Peptostreptococcales.f__Anaerovoracaceae.g__UMGS973.s__UMGS973.sp900547295</t>
  </si>
  <si>
    <t>d__Bacteria.p__Actinomycetota.c__Coriobacteriia.o__Coriobacteriales.f__QAMH01.g__QAMH01.s__QAMH01.sp900544245</t>
  </si>
  <si>
    <t>d__Bacteria.p__Bacillota_A.c__Clostridia.o__Christensenellales.f__Aristaeellaceae.g__Pullichristensenella.s__Pullichristensenella.stercorigallinarum</t>
  </si>
  <si>
    <t>d__Bacteria.p__Bacillota_A.c__Clostridia.o__Christensenellales.f__CAG.138.g__PeH17.s__PeH17.sp000435055</t>
  </si>
  <si>
    <t>d__Bacteria.p__Bacillota_A.c__Clostridia.o__Christensenellales.f__CAG.138.g__Phil1.s__Phil1.sp001940855</t>
  </si>
  <si>
    <t>d__Bacteria.p__Bacillota_A.c__Clostridia.o__Oscillospirales.f__Acutalibacteraceae.g__UMGS1264.s__UMGS1264.sp904399395</t>
  </si>
  <si>
    <t>d__Bacteria.p__Bacillota_A.c__Clostridia.o__Oscillospirales.f__Oscillospiraceae.g__Onthomonas.s__Onthomonas.sp900545815</t>
  </si>
  <si>
    <t>d__Bacteria.p__Bacillota_A.c__Clostridia.o__Christensenellales.f__Aristaeellaceae.g__Faecivicinus.s__Faecivicinus.sp900553265</t>
  </si>
  <si>
    <t>d__Bacteria.p__Bacillota_A.c__Clostridia.o__Lachnospirales.f__Lachnospiraceae.g__Butyribacter.s__Butyribacter.sp000436755</t>
  </si>
  <si>
    <t>d__Bacteria.p__Bacillota_A.c__Clostridia.o__Oscillospirales.f__Ruminococcaceae.g__Ruminococcus_C.s__Ruminococcus_C.callidus</t>
  </si>
  <si>
    <t>d__Bacteria.p__Bacillota_A.c__Clostridia.o__Christensenellales.f__QAND01.g__UMGS1975.s__UMGS1975.sp959600905</t>
  </si>
  <si>
    <t>d__Bacteria.p__Bacillota_A.c__Clostridia.o__Oscillospirales.f__Oscillospiraceae.g__Onthomonas.s__Onthomonas.sp003150485</t>
  </si>
  <si>
    <t>d__Bacteria.p__Bacillota_A.c__Clostridia.o__Christensenellales.f__Aristaeellaceae.g__Faecivicinus.s__Faecivicinus.avistercoris</t>
  </si>
  <si>
    <t>d__Bacteria.p__Bacillota_A.c__Clostridia.o__Oscillospirales.f__Acutalibacteraceae.g__Ruminococcus_E.s__Ruminococcus_E.bromii</t>
  </si>
  <si>
    <t>d__Bacteria.p__Bacillota_A.c__Clostridia.o__Lachnospirales.f__Lachnospiraceae.g__Frisingicoccus.s__Frisingicoccus.sp900549105</t>
  </si>
  <si>
    <t>d__Bacteria.p__Bacillota_A.c__Clostridia.o__Oscillospirales.f__Ruminococcaceae.g__Gemmiger.s__Gemmiger.sp900540775</t>
  </si>
  <si>
    <t>d__Bacteria.p__Bacillota_A.c__Clostridia.o__Lachnospirales.f__Lachnospiraceae.g__Blautia_A.s__Blautia_A.schinkii_B</t>
  </si>
  <si>
    <t>d__Bacteria.p__Bacillota_A.c__Clostridia.o__Lachnospirales.f__Lachnospiraceae.g__Alitiscatomonas.s__Alitiscatomonas.aceti</t>
  </si>
  <si>
    <t>d__Bacteria.p__Bacteroidota.c__Bacteroidia.o__Bacteroidales.f__Rikenellaceae.g__Tidjanibacter.s__Tidjanibacter.inops</t>
  </si>
  <si>
    <t>d__Bacteria.p__Bacillota_A.c__Clostridia.o__Oscillospirales.f__Acutalibacteraceae.g__Ruminococcus_E.s__Ruminococcus_E.intestinalis</t>
  </si>
  <si>
    <t>d__Bacteria.p__Bacillota_A.c__Clostridia.o__Lachnospirales.f__Lachnospiraceae.g__Massilistercora.s__Massilistercora.timonensis</t>
  </si>
  <si>
    <t>d__Bacteria.p__Bacillota_A.c__Clostridia.o__Oscillospirales.f__Acutalibacteraceae.g__Pseudoruminococcus.s__Pseudoruminococcus.massiliensis</t>
  </si>
  <si>
    <t>d__Bacteria.p__Bacteroidota.c__Bacteroidia.o__Bacteroidales.f__Marinifilaceae.g__Odoribacter.s__Odoribacter.splanchnicus</t>
  </si>
  <si>
    <t>d__Bacteria.p__Bacteroidota.c__Bacteroidia.o__Bacteroidales.f__Rikenellaceae.g__Alistipes.s__Alistipes.communis</t>
  </si>
  <si>
    <t>d__Bacteria.p__Bacillota_A.c__Clostridia.o__Christensenellales.f__UBA1750.g__Spyradocola.s__Spyradocola.merdavium</t>
  </si>
  <si>
    <t>d__Bacteria.p__Bacillota_A.c__Clostridia.o__Lachnospirales.f__Lachnospiraceae.g__Enterocloster.s__Enterocloster.sp001517625</t>
  </si>
  <si>
    <t>d__Bacteria.p__Pseudomonadota.c__Alphaproteobacteria.o__RF32.f__CAG.239.g__Scatacola_A.s__Scatacola_A.faecigallinarum</t>
  </si>
  <si>
    <t>d__Bacteria.p__Bacteroidota.c__Bacteroidia.o__Bacteroidales.f__Rikenellaceae.g__Alistipes_A.s__Alistipes_A.hominis</t>
  </si>
  <si>
    <t>d__Bacteria.p__Bacillota_A.c__Clostridia.o__Lachnospirales.f__Lachnospiraceae.g__Coprococcus_A.s__Coprococcus_A.catus</t>
  </si>
  <si>
    <t>d__Bacteria.p__Bacillota_A.c__Clostridia.o__Oscillospirales.f__Acutalibacteraceae.g__UMGS1071.s__UMGS1071.sp934476545</t>
  </si>
  <si>
    <t>d__Bacteria.p__Bacillota_A.c__Clostridia.o__Oscillospirales.f__Acutalibacteraceae.g__CAKTXU01.s__CAKTXU01.sp934615635</t>
  </si>
  <si>
    <t>p-val rank</t>
  </si>
  <si>
    <t>q-val adjusted by block</t>
  </si>
  <si>
    <t>abs coef</t>
  </si>
  <si>
    <t>log10(q-val)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</si>
</sst>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8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11" fontId="0" fillId="0" borderId="0" xfId="0" applyNumberFormat="1"/>
    <xf numFmtId="0" fontId="0" fillId="33" borderId="0" xfId="0" applyFill="1"/>
    <xf numFmtId="11" fontId="0" fillId="33" borderId="0" xfId="0" applyNumberFormat="1" applyFill="1"/>
    <xf numFmtId="0" fontId="18" fillId="0" borderId="0" xfId="0" applyFont="1"/>
    <xf numFmtId="0" fontId="0" fillId="34" borderId="0" xfId="0" applyFill="1"/>
    <xf numFmtId="11" fontId="0" fillId="34" borderId="0" xfId="0" applyNumberFormat="1" applyFill="1"/>
    <xf numFmtId="0" fontId="0" fillId="0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236A81-69B5-EB4F-B7DF-76B595E28A45}">
  <dimension ref="A1:M749"/>
  <sheetViews>
    <sheetView tabSelected="1" workbookViewId="0">
      <selection activeCell="A20" sqref="A20"/>
    </sheetView>
  </sheetViews>
  <sheetFormatPr baseColWidth="10" defaultRowHeight="16" x14ac:dyDescent="0.2"/>
  <cols>
    <col min="1" max="1" width="139.33203125" bestFit="1" customWidth="1"/>
    <col min="11" max="11" width="9.1640625" bestFit="1" customWidth="1"/>
    <col min="12" max="12" width="19.5" bestFit="1" customWidth="1"/>
  </cols>
  <sheetData>
    <row r="1" spans="1:13" x14ac:dyDescent="0.2">
      <c r="A1" s="4" t="s">
        <v>0</v>
      </c>
      <c r="B1" s="4" t="s">
        <v>1</v>
      </c>
      <c r="C1" s="4" t="s">
        <v>2</v>
      </c>
      <c r="D1" s="4" t="s">
        <v>3</v>
      </c>
      <c r="E1" s="4" t="s">
        <v>389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387</v>
      </c>
      <c r="L1" s="4" t="s">
        <v>388</v>
      </c>
      <c r="M1" s="4" t="s">
        <v>390</v>
      </c>
    </row>
    <row r="2" spans="1:13" x14ac:dyDescent="0.2">
      <c r="A2" s="5" t="s">
        <v>12</v>
      </c>
      <c r="B2" s="5" t="s">
        <v>10</v>
      </c>
      <c r="C2" s="5" t="s">
        <v>11</v>
      </c>
      <c r="D2" s="5">
        <v>-1.6602418029999999</v>
      </c>
      <c r="E2" s="5">
        <f>ABS(D2)</f>
        <v>1.6602418029999999</v>
      </c>
      <c r="F2" s="5">
        <v>0.32996677800000002</v>
      </c>
      <c r="G2" s="5">
        <v>146</v>
      </c>
      <c r="H2" s="5">
        <v>94</v>
      </c>
      <c r="I2" s="6">
        <v>1.44E-6</v>
      </c>
      <c r="J2" s="5">
        <v>4.6781299999999997E-4</v>
      </c>
      <c r="K2" s="5">
        <f>IF(C2=C1,K1+1,1)</f>
        <v>1</v>
      </c>
      <c r="L2" s="5">
        <f>MIN(((374/K2)*I2),L3)</f>
        <v>1.1718666666666667E-4</v>
      </c>
      <c r="M2" s="5">
        <f>-LOG10(L2)</f>
        <v>3.9311217989194835</v>
      </c>
    </row>
    <row r="3" spans="1:13" x14ac:dyDescent="0.2">
      <c r="A3" s="5" t="s">
        <v>20</v>
      </c>
      <c r="B3" s="5" t="s">
        <v>10</v>
      </c>
      <c r="C3" s="5" t="s">
        <v>11</v>
      </c>
      <c r="D3" s="5">
        <v>-1.5254103409999999</v>
      </c>
      <c r="E3" s="5">
        <f>ABS(D3)</f>
        <v>1.5254103409999999</v>
      </c>
      <c r="F3" s="5">
        <v>0.42502111100000001</v>
      </c>
      <c r="G3" s="5">
        <v>146</v>
      </c>
      <c r="H3" s="5">
        <v>110</v>
      </c>
      <c r="I3" s="5">
        <v>4.5518700000000002E-4</v>
      </c>
      <c r="J3" s="5">
        <v>3.4047991999999999E-2</v>
      </c>
      <c r="K3" s="5">
        <f>IF(C3=C2,K2+1,1)</f>
        <v>2</v>
      </c>
      <c r="L3" s="5">
        <f>MIN(((374/K3)*I3),L4)</f>
        <v>1.1718666666666667E-4</v>
      </c>
      <c r="M3" s="5">
        <f>-LOG10(L3)</f>
        <v>3.9311217989194835</v>
      </c>
    </row>
    <row r="4" spans="1:13" x14ac:dyDescent="0.2">
      <c r="A4" s="5" t="s">
        <v>15</v>
      </c>
      <c r="B4" s="5" t="s">
        <v>10</v>
      </c>
      <c r="C4" s="5" t="s">
        <v>11</v>
      </c>
      <c r="D4" s="5">
        <v>-1.459940252</v>
      </c>
      <c r="E4" s="5">
        <f>ABS(D4)</f>
        <v>1.459940252</v>
      </c>
      <c r="F4" s="5">
        <v>0.31430478000000001</v>
      </c>
      <c r="G4" s="5">
        <v>146</v>
      </c>
      <c r="H4" s="5">
        <v>96</v>
      </c>
      <c r="I4" s="6">
        <v>7.6399999999999997E-6</v>
      </c>
      <c r="J4" s="5">
        <v>1.1428619999999999E-3</v>
      </c>
      <c r="K4" s="5">
        <f>IF(C4=C3,K3+1,1)</f>
        <v>3</v>
      </c>
      <c r="L4" s="5">
        <f>MIN(((374/K4)*I4),L5)</f>
        <v>1.1718666666666667E-4</v>
      </c>
      <c r="M4" s="5">
        <f>-LOG10(L4)</f>
        <v>3.9311217989194835</v>
      </c>
    </row>
    <row r="5" spans="1:13" x14ac:dyDescent="0.2">
      <c r="A5" s="5" t="s">
        <v>32</v>
      </c>
      <c r="B5" s="5" t="s">
        <v>10</v>
      </c>
      <c r="C5" s="5" t="s">
        <v>11</v>
      </c>
      <c r="D5" s="5">
        <v>1.3588537430000001</v>
      </c>
      <c r="E5" s="5">
        <f>ABS(D5)</f>
        <v>1.3588537430000001</v>
      </c>
      <c r="F5" s="5">
        <v>0.42634518100000002</v>
      </c>
      <c r="G5" s="5">
        <v>146</v>
      </c>
      <c r="H5" s="5">
        <v>87</v>
      </c>
      <c r="I5" s="5">
        <v>1.7644939999999999E-3</v>
      </c>
      <c r="J5" s="5">
        <v>6.5992071999999999E-2</v>
      </c>
      <c r="K5" s="5">
        <f>IF(C5=C4,K4+1,1)</f>
        <v>4</v>
      </c>
      <c r="L5" s="5">
        <f>MIN(((374/K5)*I5),L6)</f>
        <v>1.1718666666666667E-4</v>
      </c>
      <c r="M5" s="5">
        <f>-LOG10(L5)</f>
        <v>3.9311217989194835</v>
      </c>
    </row>
    <row r="6" spans="1:13" x14ac:dyDescent="0.2">
      <c r="A6" s="5" t="s">
        <v>17</v>
      </c>
      <c r="B6" s="5" t="s">
        <v>10</v>
      </c>
      <c r="C6" s="5" t="s">
        <v>11</v>
      </c>
      <c r="D6" s="5">
        <v>-1.2016559449999999</v>
      </c>
      <c r="E6" s="5">
        <f>ABS(D6)</f>
        <v>1.2016559449999999</v>
      </c>
      <c r="F6" s="5">
        <v>0.303032405</v>
      </c>
      <c r="G6" s="5">
        <v>146</v>
      </c>
      <c r="H6" s="5">
        <v>132</v>
      </c>
      <c r="I6" s="5">
        <v>1.15359E-4</v>
      </c>
      <c r="J6" s="5">
        <v>1.0170845E-2</v>
      </c>
      <c r="K6" s="5">
        <f>IF(C6=C5,K5+1,1)</f>
        <v>5</v>
      </c>
      <c r="L6" s="5">
        <f>MIN(((374/K6)*I6),L7)</f>
        <v>1.1718666666666667E-4</v>
      </c>
      <c r="M6" s="5">
        <f>-LOG10(L6)</f>
        <v>3.9311217989194835</v>
      </c>
    </row>
    <row r="7" spans="1:13" x14ac:dyDescent="0.2">
      <c r="A7" s="5" t="s">
        <v>18</v>
      </c>
      <c r="B7" s="5" t="s">
        <v>10</v>
      </c>
      <c r="C7" s="5" t="s">
        <v>11</v>
      </c>
      <c r="D7" s="5">
        <v>-1.126047472</v>
      </c>
      <c r="E7" s="5">
        <f>ABS(D7)</f>
        <v>1.126047472</v>
      </c>
      <c r="F7" s="5">
        <v>0.28509180499999998</v>
      </c>
      <c r="G7" s="5">
        <v>146</v>
      </c>
      <c r="H7" s="5">
        <v>65</v>
      </c>
      <c r="I7" s="5">
        <v>1.22376E-4</v>
      </c>
      <c r="J7" s="5">
        <v>1.0170845E-2</v>
      </c>
      <c r="K7" s="5">
        <f>IF(C7=C6,K6+1,1)</f>
        <v>6</v>
      </c>
      <c r="L7" s="5">
        <f>MIN(((374/K7)*I7),L8)</f>
        <v>1.1718666666666667E-4</v>
      </c>
      <c r="M7" s="5">
        <f>-LOG10(L7)</f>
        <v>3.9311217989194835</v>
      </c>
    </row>
    <row r="8" spans="1:13" x14ac:dyDescent="0.2">
      <c r="A8" s="5" t="s">
        <v>29</v>
      </c>
      <c r="B8" s="5" t="s">
        <v>10</v>
      </c>
      <c r="C8" s="5" t="s">
        <v>11</v>
      </c>
      <c r="D8" s="5">
        <v>1.086249156</v>
      </c>
      <c r="E8" s="5">
        <f>ABS(D8)</f>
        <v>1.086249156</v>
      </c>
      <c r="F8" s="5">
        <v>0.33296361699999999</v>
      </c>
      <c r="G8" s="5">
        <v>146</v>
      </c>
      <c r="H8" s="5">
        <v>106</v>
      </c>
      <c r="I8" s="5">
        <v>1.38177E-3</v>
      </c>
      <c r="J8" s="5">
        <v>6.3146149999999998E-2</v>
      </c>
      <c r="K8" s="5">
        <f>IF(C8=C7,K7+1,1)</f>
        <v>7</v>
      </c>
      <c r="L8" s="5">
        <f>MIN(((374/K8)*I8),L9)</f>
        <v>1.1718666666666667E-4</v>
      </c>
      <c r="M8" s="5">
        <f>-LOG10(L8)</f>
        <v>3.9311217989194835</v>
      </c>
    </row>
    <row r="9" spans="1:13" x14ac:dyDescent="0.2">
      <c r="A9" s="2" t="s">
        <v>22</v>
      </c>
      <c r="B9" s="2" t="s">
        <v>10</v>
      </c>
      <c r="C9" s="2" t="s">
        <v>11</v>
      </c>
      <c r="D9" s="2">
        <v>-0.954359874</v>
      </c>
      <c r="E9" s="2">
        <f>ABS(D9)</f>
        <v>0.954359874</v>
      </c>
      <c r="F9" s="2">
        <v>0.27359191900000002</v>
      </c>
      <c r="G9" s="2">
        <v>146</v>
      </c>
      <c r="H9" s="2">
        <v>83</v>
      </c>
      <c r="I9" s="2">
        <v>6.4638900000000003E-4</v>
      </c>
      <c r="J9" s="2">
        <v>4.0291552000000001E-2</v>
      </c>
      <c r="K9" s="2">
        <f>IF(C9=C8,K8+1,1)</f>
        <v>8</v>
      </c>
      <c r="L9" s="2">
        <f>MIN(((374/K9)*I9),L10)</f>
        <v>1.1718666666666667E-4</v>
      </c>
      <c r="M9" s="2">
        <f>-LOG10(L9)</f>
        <v>3.9311217989194835</v>
      </c>
    </row>
    <row r="10" spans="1:13" x14ac:dyDescent="0.2">
      <c r="A10" s="2" t="s">
        <v>40</v>
      </c>
      <c r="B10" s="2" t="s">
        <v>10</v>
      </c>
      <c r="C10" s="2" t="s">
        <v>11</v>
      </c>
      <c r="D10" s="2">
        <v>0.94985020099999995</v>
      </c>
      <c r="E10" s="2">
        <f>ABS(D10)</f>
        <v>0.94985020099999995</v>
      </c>
      <c r="F10" s="2">
        <v>0.32093078600000002</v>
      </c>
      <c r="G10" s="2">
        <v>146</v>
      </c>
      <c r="H10" s="2">
        <v>49</v>
      </c>
      <c r="I10" s="2">
        <v>3.6059099999999999E-3</v>
      </c>
      <c r="J10" s="2">
        <v>9.6329317999999997E-2</v>
      </c>
      <c r="K10" s="2">
        <f>IF(C10=C9,K9+1,1)</f>
        <v>9</v>
      </c>
      <c r="L10" s="2">
        <f>MIN(((374/K10)*I10),L11)</f>
        <v>1.1718666666666667E-4</v>
      </c>
      <c r="M10" s="2">
        <f>-LOG10(L10)</f>
        <v>3.9311217989194835</v>
      </c>
    </row>
    <row r="11" spans="1:13" x14ac:dyDescent="0.2">
      <c r="A11" s="2" t="s">
        <v>28</v>
      </c>
      <c r="B11" s="2" t="s">
        <v>10</v>
      </c>
      <c r="C11" s="2" t="s">
        <v>11</v>
      </c>
      <c r="D11" s="2">
        <v>-0.93411680399999997</v>
      </c>
      <c r="E11" s="2">
        <f>ABS(D11)</f>
        <v>0.93411680399999997</v>
      </c>
      <c r="F11" s="2">
        <v>0.28461358199999998</v>
      </c>
      <c r="G11" s="2">
        <v>146</v>
      </c>
      <c r="H11" s="2">
        <v>132</v>
      </c>
      <c r="I11" s="2">
        <v>1.295154E-3</v>
      </c>
      <c r="J11" s="2">
        <v>6.3146149999999998E-2</v>
      </c>
      <c r="K11" s="2">
        <f>IF(C11=C10,K10+1,1)</f>
        <v>10</v>
      </c>
      <c r="L11" s="2">
        <f>MIN(((374/K11)*I11),L12)</f>
        <v>1.1718666666666667E-4</v>
      </c>
      <c r="M11" s="2">
        <f>-LOG10(L11)</f>
        <v>3.9311217989194835</v>
      </c>
    </row>
    <row r="12" spans="1:13" x14ac:dyDescent="0.2">
      <c r="A12" s="2" t="s">
        <v>19</v>
      </c>
      <c r="B12" s="2" t="s">
        <v>10</v>
      </c>
      <c r="C12" s="2" t="s">
        <v>11</v>
      </c>
      <c r="D12" s="2">
        <v>0.92156335</v>
      </c>
      <c r="E12" s="2">
        <f>ABS(D12)</f>
        <v>0.92156335</v>
      </c>
      <c r="F12" s="2">
        <v>0.23143172000000001</v>
      </c>
      <c r="G12" s="2">
        <v>146</v>
      </c>
      <c r="H12" s="2">
        <v>111</v>
      </c>
      <c r="I12" s="2">
        <v>1.08353E-4</v>
      </c>
      <c r="J12" s="2">
        <v>1.0170845E-2</v>
      </c>
      <c r="K12" s="2">
        <f>IF(C12=C11,K11+1,1)</f>
        <v>11</v>
      </c>
      <c r="L12" s="2">
        <f>MIN(((374/K12)*I12),L13)</f>
        <v>1.1718666666666667E-4</v>
      </c>
      <c r="M12" s="2">
        <f>-LOG10(L12)</f>
        <v>3.9311217989194835</v>
      </c>
    </row>
    <row r="13" spans="1:13" x14ac:dyDescent="0.2">
      <c r="A13" t="s">
        <v>64</v>
      </c>
      <c r="B13" t="s">
        <v>10</v>
      </c>
      <c r="C13" t="s">
        <v>11</v>
      </c>
      <c r="D13">
        <v>-0.91623006900000004</v>
      </c>
      <c r="E13" s="7">
        <f>ABS(D13)</f>
        <v>0.91623006900000004</v>
      </c>
      <c r="F13">
        <v>0.36020490399999999</v>
      </c>
      <c r="G13">
        <v>146</v>
      </c>
      <c r="H13">
        <v>83</v>
      </c>
      <c r="I13">
        <v>1.2033156E-2</v>
      </c>
      <c r="J13">
        <v>0.16982643</v>
      </c>
      <c r="K13">
        <f>IF(C13=C12,K12+1,1)</f>
        <v>12</v>
      </c>
      <c r="L13">
        <f>MIN(((374/K13)*I13),L14)</f>
        <v>1.1718666666666667E-4</v>
      </c>
      <c r="M13">
        <f>-LOG10(L13)</f>
        <v>3.9311217989194835</v>
      </c>
    </row>
    <row r="14" spans="1:13" x14ac:dyDescent="0.2">
      <c r="A14" t="s">
        <v>95</v>
      </c>
      <c r="B14" t="s">
        <v>10</v>
      </c>
      <c r="C14" t="s">
        <v>11</v>
      </c>
      <c r="D14">
        <v>0.89091595000000001</v>
      </c>
      <c r="E14" s="7">
        <f>ABS(D14)</f>
        <v>0.89091595000000001</v>
      </c>
      <c r="F14">
        <v>0.41183971800000002</v>
      </c>
      <c r="G14">
        <v>146</v>
      </c>
      <c r="H14">
        <v>67</v>
      </c>
      <c r="I14">
        <v>3.2183057000000001E-2</v>
      </c>
      <c r="J14">
        <v>0.27355598599999997</v>
      </c>
      <c r="K14">
        <f>IF(C14=C13,K13+1,1)</f>
        <v>13</v>
      </c>
      <c r="L14">
        <f>MIN(((374/K14)*I14),L15)</f>
        <v>1.1718666666666667E-4</v>
      </c>
      <c r="M14">
        <f>-LOG10(L14)</f>
        <v>3.9311217989194835</v>
      </c>
    </row>
    <row r="15" spans="1:13" x14ac:dyDescent="0.2">
      <c r="A15" s="2" t="s">
        <v>31</v>
      </c>
      <c r="B15" s="2" t="s">
        <v>10</v>
      </c>
      <c r="C15" s="2" t="s">
        <v>11</v>
      </c>
      <c r="D15" s="2">
        <v>-0.88180471299999996</v>
      </c>
      <c r="E15" s="2">
        <f>ABS(D15)</f>
        <v>0.88180471299999996</v>
      </c>
      <c r="F15" s="2">
        <v>0.27529642100000001</v>
      </c>
      <c r="G15" s="2">
        <v>146</v>
      </c>
      <c r="H15" s="2">
        <v>80</v>
      </c>
      <c r="I15" s="2">
        <v>1.676147E-3</v>
      </c>
      <c r="J15" s="2">
        <v>6.5987247999999998E-2</v>
      </c>
      <c r="K15" s="2">
        <f>IF(C15=C14,K14+1,1)</f>
        <v>14</v>
      </c>
      <c r="L15" s="2">
        <f>MIN(((374/K15)*I15),L16)</f>
        <v>1.1718666666666667E-4</v>
      </c>
      <c r="M15" s="2">
        <f>-LOG10(L15)</f>
        <v>3.9311217989194835</v>
      </c>
    </row>
    <row r="16" spans="1:13" x14ac:dyDescent="0.2">
      <c r="A16" t="s">
        <v>59</v>
      </c>
      <c r="B16" t="s">
        <v>24</v>
      </c>
      <c r="C16" t="s">
        <v>25</v>
      </c>
      <c r="D16">
        <v>-0.86776061999999998</v>
      </c>
      <c r="E16" s="7">
        <f>ABS(D16)</f>
        <v>0.86776061999999998</v>
      </c>
      <c r="F16">
        <v>0.32831153200000002</v>
      </c>
      <c r="G16">
        <v>146</v>
      </c>
      <c r="H16">
        <v>72</v>
      </c>
      <c r="I16">
        <v>9.1311659999999996E-3</v>
      </c>
      <c r="J16">
        <v>0.14229399600000001</v>
      </c>
      <c r="K16">
        <f>IF(C16=C15,K15+1,1)</f>
        <v>1</v>
      </c>
      <c r="L16">
        <f>MIN(((374/K16)*I16),L17)</f>
        <v>1.1718666666666667E-4</v>
      </c>
      <c r="M16">
        <f>-LOG10(L16)</f>
        <v>3.9311217989194835</v>
      </c>
    </row>
    <row r="17" spans="1:13" x14ac:dyDescent="0.2">
      <c r="A17" t="s">
        <v>52</v>
      </c>
      <c r="B17" t="s">
        <v>10</v>
      </c>
      <c r="C17" t="s">
        <v>11</v>
      </c>
      <c r="D17">
        <v>-0.86027093799999999</v>
      </c>
      <c r="E17" s="7">
        <f>ABS(D17)</f>
        <v>0.86027093799999999</v>
      </c>
      <c r="F17">
        <v>0.31674461799999998</v>
      </c>
      <c r="G17">
        <v>146</v>
      </c>
      <c r="H17">
        <v>138</v>
      </c>
      <c r="I17">
        <v>7.4233140000000003E-3</v>
      </c>
      <c r="J17">
        <v>0.13412930000000001</v>
      </c>
      <c r="K17">
        <f>IF(C17=C16,K16+1,1)</f>
        <v>1</v>
      </c>
      <c r="L17">
        <f>MIN(((374/K17)*I17),L18)</f>
        <v>1.1718666666666667E-4</v>
      </c>
      <c r="M17">
        <f>-LOG10(L17)</f>
        <v>3.9311217989194835</v>
      </c>
    </row>
    <row r="18" spans="1:13" x14ac:dyDescent="0.2">
      <c r="A18" t="s">
        <v>92</v>
      </c>
      <c r="B18" t="s">
        <v>10</v>
      </c>
      <c r="C18" t="s">
        <v>11</v>
      </c>
      <c r="D18">
        <v>-0.82557521</v>
      </c>
      <c r="E18" s="7">
        <f>ABS(D18)</f>
        <v>0.82557521</v>
      </c>
      <c r="F18">
        <v>0.363576597</v>
      </c>
      <c r="G18">
        <v>146</v>
      </c>
      <c r="H18">
        <v>97</v>
      </c>
      <c r="I18">
        <v>2.4658739999999998E-2</v>
      </c>
      <c r="J18">
        <v>0.24829396000000001</v>
      </c>
      <c r="K18">
        <f>IF(C18=C17,K17+1,1)</f>
        <v>2</v>
      </c>
      <c r="L18">
        <f>MIN(((374/K18)*I18),L19)</f>
        <v>1.1718666666666667E-4</v>
      </c>
      <c r="M18">
        <f>-LOG10(L18)</f>
        <v>3.9311217989194835</v>
      </c>
    </row>
    <row r="19" spans="1:13" x14ac:dyDescent="0.2">
      <c r="A19" t="s">
        <v>77</v>
      </c>
      <c r="B19" t="s">
        <v>10</v>
      </c>
      <c r="C19" t="s">
        <v>11</v>
      </c>
      <c r="D19">
        <v>0.80714308599999995</v>
      </c>
      <c r="E19" s="7">
        <f>ABS(D19)</f>
        <v>0.80714308599999995</v>
      </c>
      <c r="F19">
        <v>0.34045297200000002</v>
      </c>
      <c r="G19">
        <v>146</v>
      </c>
      <c r="H19">
        <v>60</v>
      </c>
      <c r="I19">
        <v>1.9083758999999999E-2</v>
      </c>
      <c r="J19">
        <v>0.21705313700000001</v>
      </c>
      <c r="K19">
        <f>IF(C19=C18,K18+1,1)</f>
        <v>3</v>
      </c>
      <c r="L19">
        <f>MIN(((374/K19)*I19),L20)</f>
        <v>1.1718666666666667E-4</v>
      </c>
      <c r="M19">
        <f>-LOG10(L19)</f>
        <v>3.9311217989194835</v>
      </c>
    </row>
    <row r="20" spans="1:13" x14ac:dyDescent="0.2">
      <c r="A20" t="s">
        <v>68</v>
      </c>
      <c r="B20" t="s">
        <v>10</v>
      </c>
      <c r="C20" t="s">
        <v>11</v>
      </c>
      <c r="D20">
        <v>-0.80594644900000001</v>
      </c>
      <c r="E20" s="7">
        <f>ABS(D20)</f>
        <v>0.80594644900000001</v>
      </c>
      <c r="F20">
        <v>0.328576427</v>
      </c>
      <c r="G20">
        <v>146</v>
      </c>
      <c r="H20">
        <v>108</v>
      </c>
      <c r="I20">
        <v>1.5376424E-2</v>
      </c>
      <c r="J20">
        <v>0.196778758</v>
      </c>
      <c r="K20">
        <f>IF(C20=C19,K19+1,1)</f>
        <v>4</v>
      </c>
      <c r="L20">
        <f>MIN(((374/K20)*I20),L21)</f>
        <v>1.1718666666666667E-4</v>
      </c>
      <c r="M20">
        <f>-LOG10(L20)</f>
        <v>3.9311217989194835</v>
      </c>
    </row>
    <row r="21" spans="1:13" x14ac:dyDescent="0.2">
      <c r="A21" t="s">
        <v>51</v>
      </c>
      <c r="B21" t="s">
        <v>24</v>
      </c>
      <c r="C21" t="s">
        <v>25</v>
      </c>
      <c r="D21">
        <v>-0.79933332800000001</v>
      </c>
      <c r="E21" s="7">
        <f>ABS(D21)</f>
        <v>0.79933332800000001</v>
      </c>
      <c r="F21">
        <v>0.29826549099999999</v>
      </c>
      <c r="G21">
        <v>146</v>
      </c>
      <c r="H21">
        <v>122</v>
      </c>
      <c r="I21">
        <v>8.2279410000000008E-3</v>
      </c>
      <c r="J21">
        <v>0.13412930000000001</v>
      </c>
      <c r="K21">
        <f>IF(C21=C20,K20+1,1)</f>
        <v>1</v>
      </c>
      <c r="L21">
        <f>MIN(((374/K21)*I21),L22)</f>
        <v>1.1718666666666667E-4</v>
      </c>
      <c r="M21">
        <f>-LOG10(L21)</f>
        <v>3.9311217989194835</v>
      </c>
    </row>
    <row r="22" spans="1:13" x14ac:dyDescent="0.2">
      <c r="A22" t="s">
        <v>94</v>
      </c>
      <c r="B22" t="s">
        <v>10</v>
      </c>
      <c r="C22" t="s">
        <v>11</v>
      </c>
      <c r="D22">
        <v>0.79135055799999998</v>
      </c>
      <c r="E22" s="7">
        <f>ABS(D22)</f>
        <v>0.79135055799999998</v>
      </c>
      <c r="F22">
        <v>0.359730561</v>
      </c>
      <c r="G22">
        <v>146</v>
      </c>
      <c r="H22">
        <v>61</v>
      </c>
      <c r="I22">
        <v>2.9423561000000001E-2</v>
      </c>
      <c r="J22">
        <v>0.25892733499999998</v>
      </c>
      <c r="K22">
        <f>IF(C22=C21,K21+1,1)</f>
        <v>1</v>
      </c>
      <c r="L22">
        <f>MIN(((374/K22)*I22),L23)</f>
        <v>1.1718666666666667E-4</v>
      </c>
      <c r="M22">
        <f>-LOG10(L22)</f>
        <v>3.9311217989194835</v>
      </c>
    </row>
    <row r="23" spans="1:13" x14ac:dyDescent="0.2">
      <c r="A23" s="2" t="s">
        <v>38</v>
      </c>
      <c r="B23" s="2" t="s">
        <v>10</v>
      </c>
      <c r="C23" s="2" t="s">
        <v>11</v>
      </c>
      <c r="D23" s="2">
        <v>0.78179895499999996</v>
      </c>
      <c r="E23" s="2">
        <f>ABS(D23)</f>
        <v>0.78179895499999996</v>
      </c>
      <c r="F23" s="2">
        <v>0.26072964199999998</v>
      </c>
      <c r="G23" s="2">
        <v>146</v>
      </c>
      <c r="H23" s="2">
        <v>30</v>
      </c>
      <c r="I23" s="2">
        <v>3.2006399999999998E-3</v>
      </c>
      <c r="J23" s="2">
        <v>9.2079942999999997E-2</v>
      </c>
      <c r="K23" s="2">
        <f>IF(C23=C22,K22+1,1)</f>
        <v>2</v>
      </c>
      <c r="L23" s="2">
        <f>MIN(((374/K23)*I23),L24)</f>
        <v>1.1718666666666667E-4</v>
      </c>
      <c r="M23" s="2">
        <f>-LOG10(L23)</f>
        <v>3.9311217989194835</v>
      </c>
    </row>
    <row r="24" spans="1:13" x14ac:dyDescent="0.2">
      <c r="A24" t="s">
        <v>23</v>
      </c>
      <c r="B24" t="s">
        <v>24</v>
      </c>
      <c r="C24" t="s">
        <v>25</v>
      </c>
      <c r="D24">
        <v>0.76144329600000005</v>
      </c>
      <c r="E24" s="7">
        <f>ABS(D24)</f>
        <v>0.76144329600000005</v>
      </c>
      <c r="F24">
        <v>0.22430645699999999</v>
      </c>
      <c r="G24">
        <v>146</v>
      </c>
      <c r="H24">
        <v>64</v>
      </c>
      <c r="I24">
        <v>8.8952300000000003E-4</v>
      </c>
      <c r="J24">
        <v>5.1181800999999999E-2</v>
      </c>
      <c r="K24">
        <f>IF(C24=C23,K23+1,1)</f>
        <v>1</v>
      </c>
      <c r="L24">
        <f>MIN(((374/K24)*I24),L25)</f>
        <v>1.1718666666666667E-4</v>
      </c>
      <c r="M24">
        <f>-LOG10(L24)</f>
        <v>3.9311217989194835</v>
      </c>
    </row>
    <row r="25" spans="1:13" x14ac:dyDescent="0.2">
      <c r="A25" t="s">
        <v>43</v>
      </c>
      <c r="B25" t="s">
        <v>10</v>
      </c>
      <c r="C25" t="s">
        <v>11</v>
      </c>
      <c r="D25">
        <v>0.75381495700000001</v>
      </c>
      <c r="E25" s="7">
        <f>ABS(D25)</f>
        <v>0.75381495700000001</v>
      </c>
      <c r="F25">
        <v>0.26912519400000001</v>
      </c>
      <c r="G25">
        <v>146</v>
      </c>
      <c r="H25">
        <v>75</v>
      </c>
      <c r="I25">
        <v>5.8003400000000002E-3</v>
      </c>
      <c r="J25">
        <v>0.128402288</v>
      </c>
      <c r="K25">
        <f>IF(C25=C24,K24+1,1)</f>
        <v>1</v>
      </c>
      <c r="L25">
        <f>MIN(((374/K25)*I25),L26)</f>
        <v>1.1718666666666667E-4</v>
      </c>
      <c r="M25">
        <f>-LOG10(L25)</f>
        <v>3.9311217989194835</v>
      </c>
    </row>
    <row r="26" spans="1:13" x14ac:dyDescent="0.2">
      <c r="A26" t="s">
        <v>55</v>
      </c>
      <c r="B26" t="s">
        <v>24</v>
      </c>
      <c r="C26" t="s">
        <v>25</v>
      </c>
      <c r="D26">
        <v>-0.71931537599999995</v>
      </c>
      <c r="E26" s="7">
        <f>ABS(D26)</f>
        <v>0.71931537599999995</v>
      </c>
      <c r="F26">
        <v>0.26209613700000001</v>
      </c>
      <c r="G26">
        <v>146</v>
      </c>
      <c r="H26">
        <v>77</v>
      </c>
      <c r="I26">
        <v>6.83834E-3</v>
      </c>
      <c r="J26">
        <v>0.13412930000000001</v>
      </c>
      <c r="K26">
        <f>IF(C26=C25,K25+1,1)</f>
        <v>1</v>
      </c>
      <c r="L26">
        <f>MIN(((374/K26)*I26),L27)</f>
        <v>1.1718666666666667E-4</v>
      </c>
      <c r="M26">
        <f>-LOG10(L26)</f>
        <v>3.9311217989194835</v>
      </c>
    </row>
    <row r="27" spans="1:13" x14ac:dyDescent="0.2">
      <c r="A27" s="2" t="s">
        <v>26</v>
      </c>
      <c r="B27" s="2" t="s">
        <v>10</v>
      </c>
      <c r="C27" s="2" t="s">
        <v>11</v>
      </c>
      <c r="D27" s="2">
        <v>-0.69349159699999996</v>
      </c>
      <c r="E27" s="2">
        <f>ABS(D27)</f>
        <v>0.69349159699999996</v>
      </c>
      <c r="F27" s="2">
        <v>0.20880595199999999</v>
      </c>
      <c r="G27" s="2">
        <v>146</v>
      </c>
      <c r="H27" s="2">
        <v>84</v>
      </c>
      <c r="I27" s="2">
        <v>1.1376649999999999E-3</v>
      </c>
      <c r="J27" s="2">
        <v>6.0783806000000003E-2</v>
      </c>
      <c r="K27" s="2">
        <f>IF(C27=C26,K26+1,1)</f>
        <v>1</v>
      </c>
      <c r="L27" s="2">
        <f>MIN(((374/K27)*I27),L28)</f>
        <v>1.1718666666666667E-4</v>
      </c>
      <c r="M27" s="2">
        <f>-LOG10(L27)</f>
        <v>3.9311217989194835</v>
      </c>
    </row>
    <row r="28" spans="1:13" x14ac:dyDescent="0.2">
      <c r="A28" t="s">
        <v>75</v>
      </c>
      <c r="B28" t="s">
        <v>10</v>
      </c>
      <c r="C28" t="s">
        <v>11</v>
      </c>
      <c r="D28">
        <v>-0.68566714100000004</v>
      </c>
      <c r="E28" s="7">
        <f>ABS(D28)</f>
        <v>0.68566714100000004</v>
      </c>
      <c r="F28">
        <v>0.28802551700000001</v>
      </c>
      <c r="G28">
        <v>146</v>
      </c>
      <c r="H28">
        <v>75</v>
      </c>
      <c r="I28">
        <v>1.8603578999999999E-2</v>
      </c>
      <c r="J28">
        <v>0.21705313700000001</v>
      </c>
      <c r="K28">
        <f>IF(C28=C27,K27+1,1)</f>
        <v>2</v>
      </c>
      <c r="L28">
        <f>MIN(((374/K28)*I28),L29)</f>
        <v>1.1718666666666667E-4</v>
      </c>
      <c r="M28">
        <f>-LOG10(L28)</f>
        <v>3.9311217989194835</v>
      </c>
    </row>
    <row r="29" spans="1:13" x14ac:dyDescent="0.2">
      <c r="A29" t="s">
        <v>89</v>
      </c>
      <c r="B29" t="s">
        <v>10</v>
      </c>
      <c r="C29" t="s">
        <v>11</v>
      </c>
      <c r="D29">
        <v>0.67836320100000003</v>
      </c>
      <c r="E29" s="7">
        <f>ABS(D29)</f>
        <v>0.67836320100000003</v>
      </c>
      <c r="F29">
        <v>0.305331187</v>
      </c>
      <c r="G29">
        <v>146</v>
      </c>
      <c r="H29">
        <v>113</v>
      </c>
      <c r="I29">
        <v>2.7872935000000001E-2</v>
      </c>
      <c r="J29">
        <v>0.24829396000000001</v>
      </c>
      <c r="K29">
        <f>IF(C29=C28,K28+1,1)</f>
        <v>3</v>
      </c>
      <c r="L29">
        <f>MIN(((374/K29)*I29),L30)</f>
        <v>1.1718666666666667E-4</v>
      </c>
      <c r="M29">
        <f>-LOG10(L29)</f>
        <v>3.9311217989194835</v>
      </c>
    </row>
    <row r="30" spans="1:13" x14ac:dyDescent="0.2">
      <c r="A30" t="s">
        <v>56</v>
      </c>
      <c r="B30" t="s">
        <v>10</v>
      </c>
      <c r="C30" t="s">
        <v>11</v>
      </c>
      <c r="D30">
        <v>-0.67494216500000004</v>
      </c>
      <c r="E30" s="7">
        <f>ABS(D30)</f>
        <v>0.67494216500000004</v>
      </c>
      <c r="F30">
        <v>0.250834261</v>
      </c>
      <c r="G30">
        <v>146</v>
      </c>
      <c r="H30">
        <v>53</v>
      </c>
      <c r="I30">
        <v>7.9777509999999999E-3</v>
      </c>
      <c r="J30">
        <v>0.13412930000000001</v>
      </c>
      <c r="K30">
        <f>IF(C30=C29,K29+1,1)</f>
        <v>4</v>
      </c>
      <c r="L30">
        <f>MIN(((374/K30)*I30),L31)</f>
        <v>1.1718666666666667E-4</v>
      </c>
      <c r="M30">
        <f>-LOG10(L30)</f>
        <v>3.9311217989194835</v>
      </c>
    </row>
    <row r="31" spans="1:13" x14ac:dyDescent="0.2">
      <c r="A31" t="s">
        <v>142</v>
      </c>
      <c r="B31" t="s">
        <v>10</v>
      </c>
      <c r="C31" t="s">
        <v>11</v>
      </c>
      <c r="D31">
        <v>-0.671957731</v>
      </c>
      <c r="E31" s="7">
        <f>ABS(D31)</f>
        <v>0.671957731</v>
      </c>
      <c r="F31">
        <v>0.397211286</v>
      </c>
      <c r="G31">
        <v>146</v>
      </c>
      <c r="H31">
        <v>92</v>
      </c>
      <c r="I31">
        <v>9.2883452000000005E-2</v>
      </c>
      <c r="J31">
        <v>0.46317881599999999</v>
      </c>
      <c r="K31">
        <f>IF(C31=C30,K30+1,1)</f>
        <v>5</v>
      </c>
      <c r="L31">
        <f>MIN(((374/K31)*I31),L32)</f>
        <v>1.1718666666666667E-4</v>
      </c>
      <c r="M31">
        <f>-LOG10(L31)</f>
        <v>3.9311217989194835</v>
      </c>
    </row>
    <row r="32" spans="1:13" x14ac:dyDescent="0.2">
      <c r="A32" s="2" t="s">
        <v>13</v>
      </c>
      <c r="B32" s="2" t="s">
        <v>10</v>
      </c>
      <c r="C32" s="2" t="s">
        <v>11</v>
      </c>
      <c r="D32" s="2">
        <v>-0.66184789600000005</v>
      </c>
      <c r="E32" s="2">
        <f>ABS(D32)</f>
        <v>0.66184789600000005</v>
      </c>
      <c r="F32" s="2">
        <v>0.13313376699999999</v>
      </c>
      <c r="G32" s="2">
        <v>146</v>
      </c>
      <c r="H32" s="2">
        <v>40</v>
      </c>
      <c r="I32" s="3">
        <v>1.88E-6</v>
      </c>
      <c r="J32" s="2">
        <v>4.6781299999999997E-4</v>
      </c>
      <c r="K32" s="2">
        <f>IF(C32=C31,K31+1,1)</f>
        <v>6</v>
      </c>
      <c r="L32" s="2">
        <f>MIN(((374/K32)*I32),L33)</f>
        <v>1.1718666666666667E-4</v>
      </c>
      <c r="M32" s="2">
        <f>-LOG10(L32)</f>
        <v>3.9311217989194835</v>
      </c>
    </row>
    <row r="33" spans="1:13" x14ac:dyDescent="0.2">
      <c r="A33" t="s">
        <v>68</v>
      </c>
      <c r="B33" t="s">
        <v>24</v>
      </c>
      <c r="C33" t="s">
        <v>25</v>
      </c>
      <c r="D33">
        <v>-0.65186942400000003</v>
      </c>
      <c r="E33" s="7">
        <f>ABS(D33)</f>
        <v>0.65186942400000003</v>
      </c>
      <c r="F33">
        <v>0.30712568000000001</v>
      </c>
      <c r="G33">
        <v>146</v>
      </c>
      <c r="H33">
        <v>108</v>
      </c>
      <c r="I33">
        <v>3.5520151E-2</v>
      </c>
      <c r="J33">
        <v>0.285327573</v>
      </c>
      <c r="K33">
        <f>IF(C33=C32,K32+1,1)</f>
        <v>1</v>
      </c>
      <c r="L33">
        <f>MIN(((374/K33)*I33),L34)</f>
        <v>1.3576199999999999E-4</v>
      </c>
      <c r="M33">
        <f>-LOG10(L33)</f>
        <v>3.8672217727634073</v>
      </c>
    </row>
    <row r="34" spans="1:13" x14ac:dyDescent="0.2">
      <c r="A34" t="s">
        <v>93</v>
      </c>
      <c r="B34" t="s">
        <v>10</v>
      </c>
      <c r="C34" t="s">
        <v>11</v>
      </c>
      <c r="D34">
        <v>-0.64300870099999996</v>
      </c>
      <c r="E34" s="7">
        <f>ABS(D34)</f>
        <v>0.64300870099999996</v>
      </c>
      <c r="F34">
        <v>0.28787783500000003</v>
      </c>
      <c r="G34">
        <v>146</v>
      </c>
      <c r="H34">
        <v>88</v>
      </c>
      <c r="I34">
        <v>2.7060951999999999E-2</v>
      </c>
      <c r="J34">
        <v>0.24829396000000001</v>
      </c>
      <c r="K34">
        <f>IF(C34=C33,K33+1,1)</f>
        <v>1</v>
      </c>
      <c r="L34">
        <f>MIN(((374/K34)*I34),L35)</f>
        <v>1.3576199999999999E-4</v>
      </c>
      <c r="M34">
        <f>-LOG10(L34)</f>
        <v>3.8672217727634073</v>
      </c>
    </row>
    <row r="35" spans="1:13" x14ac:dyDescent="0.2">
      <c r="A35" t="s">
        <v>117</v>
      </c>
      <c r="B35" t="s">
        <v>10</v>
      </c>
      <c r="C35" t="s">
        <v>11</v>
      </c>
      <c r="D35">
        <v>-0.64160523199999997</v>
      </c>
      <c r="E35" s="7">
        <f>ABS(D35)</f>
        <v>0.64160523199999997</v>
      </c>
      <c r="F35">
        <v>0.331308033</v>
      </c>
      <c r="G35">
        <v>146</v>
      </c>
      <c r="H35">
        <v>112</v>
      </c>
      <c r="I35">
        <v>5.4768454000000001E-2</v>
      </c>
      <c r="J35">
        <v>0.35406327900000001</v>
      </c>
      <c r="K35">
        <f>IF(C35=C34,K34+1,1)</f>
        <v>2</v>
      </c>
      <c r="L35">
        <f>MIN(((374/K35)*I35),L36)</f>
        <v>1.3576199999999999E-4</v>
      </c>
      <c r="M35">
        <f>-LOG10(L35)</f>
        <v>3.8672217727634073</v>
      </c>
    </row>
    <row r="36" spans="1:13" x14ac:dyDescent="0.2">
      <c r="A36" t="s">
        <v>119</v>
      </c>
      <c r="B36" t="s">
        <v>10</v>
      </c>
      <c r="C36" t="s">
        <v>11</v>
      </c>
      <c r="D36">
        <v>-0.64127377299999999</v>
      </c>
      <c r="E36" s="7">
        <f>ABS(D36)</f>
        <v>0.64127377299999999</v>
      </c>
      <c r="F36">
        <v>0.33023004700000003</v>
      </c>
      <c r="G36">
        <v>146</v>
      </c>
      <c r="H36">
        <v>105</v>
      </c>
      <c r="I36">
        <v>5.4114981E-2</v>
      </c>
      <c r="J36">
        <v>0.35406327900000001</v>
      </c>
      <c r="K36">
        <f>IF(C36=C35,K35+1,1)</f>
        <v>3</v>
      </c>
      <c r="L36">
        <f>MIN(((374/K36)*I36),L37)</f>
        <v>1.3576199999999999E-4</v>
      </c>
      <c r="M36">
        <f>-LOG10(L36)</f>
        <v>3.8672217727634073</v>
      </c>
    </row>
    <row r="37" spans="1:13" x14ac:dyDescent="0.2">
      <c r="A37" t="s">
        <v>23</v>
      </c>
      <c r="B37" t="s">
        <v>10</v>
      </c>
      <c r="C37" t="s">
        <v>11</v>
      </c>
      <c r="D37">
        <v>0.64108235899999999</v>
      </c>
      <c r="E37" s="7">
        <f>ABS(D37)</f>
        <v>0.64108235899999999</v>
      </c>
      <c r="F37">
        <v>0.23997281600000001</v>
      </c>
      <c r="G37">
        <v>146</v>
      </c>
      <c r="H37">
        <v>64</v>
      </c>
      <c r="I37">
        <v>8.4279109999999997E-3</v>
      </c>
      <c r="J37">
        <v>0.13412930000000001</v>
      </c>
      <c r="K37">
        <f>IF(C37=C36,K36+1,1)</f>
        <v>4</v>
      </c>
      <c r="L37">
        <f>MIN(((374/K37)*I37),L38)</f>
        <v>1.3576199999999999E-4</v>
      </c>
      <c r="M37">
        <f>-LOG10(L37)</f>
        <v>3.8672217727634073</v>
      </c>
    </row>
    <row r="38" spans="1:13" x14ac:dyDescent="0.2">
      <c r="A38" s="2" t="s">
        <v>33</v>
      </c>
      <c r="B38" s="2" t="s">
        <v>10</v>
      </c>
      <c r="C38" s="2" t="s">
        <v>11</v>
      </c>
      <c r="D38" s="2">
        <v>-0.63789576599999998</v>
      </c>
      <c r="E38" s="2">
        <f>ABS(D38)</f>
        <v>0.63789576599999998</v>
      </c>
      <c r="F38" s="2">
        <v>0.202981471</v>
      </c>
      <c r="G38" s="2">
        <v>146</v>
      </c>
      <c r="H38" s="2">
        <v>66</v>
      </c>
      <c r="I38" s="2">
        <v>2.035916E-3</v>
      </c>
      <c r="J38" s="2">
        <v>7.0313596000000006E-2</v>
      </c>
      <c r="K38" s="2">
        <f>IF(C38=C37,K37+1,1)</f>
        <v>5</v>
      </c>
      <c r="L38" s="2">
        <f>MIN(((374/K38)*I38),L39)</f>
        <v>1.3576199999999999E-4</v>
      </c>
      <c r="M38" s="2">
        <f>-LOG10(L38)</f>
        <v>3.8672217727634073</v>
      </c>
    </row>
    <row r="39" spans="1:13" x14ac:dyDescent="0.2">
      <c r="A39" t="s">
        <v>85</v>
      </c>
      <c r="B39" t="s">
        <v>10</v>
      </c>
      <c r="C39" t="s">
        <v>11</v>
      </c>
      <c r="D39">
        <v>-0.63754846600000004</v>
      </c>
      <c r="E39" s="7">
        <f>ABS(D39)</f>
        <v>0.63754846600000004</v>
      </c>
      <c r="F39">
        <v>0.28495991799999998</v>
      </c>
      <c r="G39">
        <v>146</v>
      </c>
      <c r="H39">
        <v>87</v>
      </c>
      <c r="I39">
        <v>2.6811779000000001E-2</v>
      </c>
      <c r="J39">
        <v>0.24829396000000001</v>
      </c>
      <c r="K39">
        <f>IF(C39=C38,K38+1,1)</f>
        <v>6</v>
      </c>
      <c r="L39">
        <f>MIN(((374/K39)*I39),L40)</f>
        <v>1.3576199999999999E-4</v>
      </c>
      <c r="M39">
        <f>-LOG10(L39)</f>
        <v>3.8672217727634073</v>
      </c>
    </row>
    <row r="40" spans="1:13" x14ac:dyDescent="0.2">
      <c r="A40" s="2" t="s">
        <v>27</v>
      </c>
      <c r="B40" s="2" t="s">
        <v>10</v>
      </c>
      <c r="C40" s="2" t="s">
        <v>11</v>
      </c>
      <c r="D40" s="2">
        <v>0.63655820100000005</v>
      </c>
      <c r="E40" s="2">
        <f>ABS(D40)</f>
        <v>0.63655820100000005</v>
      </c>
      <c r="F40" s="2">
        <v>0.19581581300000001</v>
      </c>
      <c r="G40" s="2">
        <v>146</v>
      </c>
      <c r="H40" s="2">
        <v>24</v>
      </c>
      <c r="I40" s="2">
        <v>1.4351399999999999E-3</v>
      </c>
      <c r="J40" s="2">
        <v>6.3146149999999998E-2</v>
      </c>
      <c r="K40" s="2">
        <f>IF(C40=C39,K39+1,1)</f>
        <v>7</v>
      </c>
      <c r="L40" s="2">
        <f>MIN(((374/K40)*I40),L41)</f>
        <v>1.3576199999999999E-4</v>
      </c>
      <c r="M40" s="2">
        <f>-LOG10(L40)</f>
        <v>3.8672217727634073</v>
      </c>
    </row>
    <row r="41" spans="1:13" x14ac:dyDescent="0.2">
      <c r="A41" t="s">
        <v>60</v>
      </c>
      <c r="B41" t="s">
        <v>24</v>
      </c>
      <c r="C41" t="s">
        <v>25</v>
      </c>
      <c r="D41">
        <v>0.63396731299999998</v>
      </c>
      <c r="E41" s="7">
        <f>ABS(D41)</f>
        <v>0.63396731299999998</v>
      </c>
      <c r="F41">
        <v>0.242004467</v>
      </c>
      <c r="G41">
        <v>146</v>
      </c>
      <c r="H41">
        <v>27</v>
      </c>
      <c r="I41">
        <v>9.7517769999999997E-3</v>
      </c>
      <c r="J41">
        <v>0.14886385999999999</v>
      </c>
      <c r="K41">
        <f>IF(C41=C40,K40+1,1)</f>
        <v>1</v>
      </c>
      <c r="L41">
        <f>MIN(((374/K41)*I41),L42)</f>
        <v>1.3576199999999999E-4</v>
      </c>
      <c r="M41">
        <f>-LOG10(L41)</f>
        <v>3.8672217727634073</v>
      </c>
    </row>
    <row r="42" spans="1:13" x14ac:dyDescent="0.2">
      <c r="A42" t="s">
        <v>102</v>
      </c>
      <c r="B42" t="s">
        <v>10</v>
      </c>
      <c r="C42" t="s">
        <v>11</v>
      </c>
      <c r="D42">
        <v>-0.609123003</v>
      </c>
      <c r="E42" s="7">
        <f>ABS(D42)</f>
        <v>0.609123003</v>
      </c>
      <c r="F42">
        <v>0.29424529999999999</v>
      </c>
      <c r="G42">
        <v>146</v>
      </c>
      <c r="H42">
        <v>68</v>
      </c>
      <c r="I42">
        <v>4.0239987999999997E-2</v>
      </c>
      <c r="J42">
        <v>0.31030423800000001</v>
      </c>
      <c r="K42">
        <f>IF(C42=C41,K41+1,1)</f>
        <v>1</v>
      </c>
      <c r="L42">
        <f>MIN(((374/K42)*I42),L43)</f>
        <v>1.3576199999999999E-4</v>
      </c>
      <c r="M42">
        <f>-LOG10(L42)</f>
        <v>3.8672217727634073</v>
      </c>
    </row>
    <row r="43" spans="1:13" x14ac:dyDescent="0.2">
      <c r="A43" t="s">
        <v>63</v>
      </c>
      <c r="B43" t="s">
        <v>10</v>
      </c>
      <c r="C43" t="s">
        <v>11</v>
      </c>
      <c r="D43">
        <v>-0.60903345900000005</v>
      </c>
      <c r="E43" s="7">
        <f>ABS(D43)</f>
        <v>0.60903345900000005</v>
      </c>
      <c r="F43">
        <v>0.23729557500000001</v>
      </c>
      <c r="G43">
        <v>146</v>
      </c>
      <c r="H43">
        <v>80</v>
      </c>
      <c r="I43">
        <v>1.1299320999999999E-2</v>
      </c>
      <c r="J43">
        <v>0.162536389</v>
      </c>
      <c r="K43">
        <f>IF(C43=C42,K42+1,1)</f>
        <v>2</v>
      </c>
      <c r="L43">
        <f>MIN(((374/K43)*I43),L44)</f>
        <v>1.3576199999999999E-4</v>
      </c>
      <c r="M43">
        <f>-LOG10(L43)</f>
        <v>3.8672217727634073</v>
      </c>
    </row>
    <row r="44" spans="1:13" x14ac:dyDescent="0.2">
      <c r="A44" t="s">
        <v>114</v>
      </c>
      <c r="B44" t="s">
        <v>24</v>
      </c>
      <c r="C44" t="s">
        <v>25</v>
      </c>
      <c r="D44">
        <v>-0.60814972300000003</v>
      </c>
      <c r="E44" s="7">
        <f>ABS(D44)</f>
        <v>0.60814972300000003</v>
      </c>
      <c r="F44">
        <v>0.31444998600000001</v>
      </c>
      <c r="G44">
        <v>146</v>
      </c>
      <c r="H44">
        <v>93</v>
      </c>
      <c r="I44">
        <v>5.5086782000000001E-2</v>
      </c>
      <c r="J44">
        <v>0.35406327900000001</v>
      </c>
      <c r="K44">
        <f>IF(C44=C43,K43+1,1)</f>
        <v>1</v>
      </c>
      <c r="L44">
        <f>MIN(((374/K44)*I44),L45)</f>
        <v>1.3576199999999999E-4</v>
      </c>
      <c r="M44">
        <f>-LOG10(L44)</f>
        <v>3.8672217727634073</v>
      </c>
    </row>
    <row r="45" spans="1:13" x14ac:dyDescent="0.2">
      <c r="A45" t="s">
        <v>49</v>
      </c>
      <c r="B45" t="s">
        <v>10</v>
      </c>
      <c r="C45" t="s">
        <v>11</v>
      </c>
      <c r="D45">
        <v>-0.60775674599999996</v>
      </c>
      <c r="E45" s="7">
        <f>ABS(D45)</f>
        <v>0.60775674599999996</v>
      </c>
      <c r="F45">
        <v>0.21884866</v>
      </c>
      <c r="G45">
        <v>146</v>
      </c>
      <c r="H45">
        <v>116</v>
      </c>
      <c r="I45">
        <v>6.2207800000000004E-3</v>
      </c>
      <c r="J45">
        <v>0.12968823400000001</v>
      </c>
      <c r="K45">
        <f>IF(C45=C44,K44+1,1)</f>
        <v>1</v>
      </c>
      <c r="L45">
        <f>MIN(((374/K45)*I45),L46)</f>
        <v>1.3576199999999999E-4</v>
      </c>
      <c r="M45">
        <f>-LOG10(L45)</f>
        <v>3.8672217727634073</v>
      </c>
    </row>
    <row r="46" spans="1:13" x14ac:dyDescent="0.2">
      <c r="A46" t="s">
        <v>42</v>
      </c>
      <c r="B46" t="s">
        <v>10</v>
      </c>
      <c r="C46" t="s">
        <v>11</v>
      </c>
      <c r="D46">
        <v>-0.60136639000000003</v>
      </c>
      <c r="E46" s="7">
        <f>ABS(D46)</f>
        <v>0.60136639000000003</v>
      </c>
      <c r="F46">
        <v>0.210590586</v>
      </c>
      <c r="G46">
        <v>146</v>
      </c>
      <c r="H46">
        <v>63</v>
      </c>
      <c r="I46">
        <v>4.9353519999999996E-3</v>
      </c>
      <c r="J46">
        <v>0.123054783</v>
      </c>
      <c r="K46">
        <f>IF(C46=C45,K45+1,1)</f>
        <v>2</v>
      </c>
      <c r="L46">
        <f>MIN(((374/K46)*I46),L47)</f>
        <v>1.3576199999999999E-4</v>
      </c>
      <c r="M46">
        <f>-LOG10(L46)</f>
        <v>3.8672217727634073</v>
      </c>
    </row>
    <row r="47" spans="1:13" x14ac:dyDescent="0.2">
      <c r="A47" t="s">
        <v>103</v>
      </c>
      <c r="B47" t="s">
        <v>10</v>
      </c>
      <c r="C47" t="s">
        <v>11</v>
      </c>
      <c r="D47">
        <v>0.59988641600000003</v>
      </c>
      <c r="E47" s="7">
        <f>ABS(D47)</f>
        <v>0.59988641600000003</v>
      </c>
      <c r="F47">
        <v>0.29280393300000002</v>
      </c>
      <c r="G47">
        <v>146</v>
      </c>
      <c r="H47">
        <v>113</v>
      </c>
      <c r="I47">
        <v>4.2313770000000001E-2</v>
      </c>
      <c r="J47">
        <v>0.322966325</v>
      </c>
      <c r="K47">
        <f>IF(C47=C46,K46+1,1)</f>
        <v>3</v>
      </c>
      <c r="L47">
        <f>MIN(((374/K47)*I47),L48)</f>
        <v>1.3576199999999999E-4</v>
      </c>
      <c r="M47">
        <f>-LOG10(L47)</f>
        <v>3.8672217727634073</v>
      </c>
    </row>
    <row r="48" spans="1:13" x14ac:dyDescent="0.2">
      <c r="A48" t="s">
        <v>61</v>
      </c>
      <c r="B48" t="s">
        <v>10</v>
      </c>
      <c r="C48" t="s">
        <v>11</v>
      </c>
      <c r="D48">
        <v>-0.59711536499999995</v>
      </c>
      <c r="E48" s="7">
        <f>ABS(D48)</f>
        <v>0.59711536499999995</v>
      </c>
      <c r="F48">
        <v>0.22942222200000001</v>
      </c>
      <c r="G48">
        <v>146</v>
      </c>
      <c r="H48">
        <v>78</v>
      </c>
      <c r="I48">
        <v>1.0224014E-2</v>
      </c>
      <c r="J48">
        <v>0.149952206</v>
      </c>
      <c r="K48">
        <f>IF(C48=C47,K47+1,1)</f>
        <v>4</v>
      </c>
      <c r="L48">
        <f>MIN(((374/K48)*I48),L49)</f>
        <v>1.3576199999999999E-4</v>
      </c>
      <c r="M48">
        <f>-LOG10(L48)</f>
        <v>3.8672217727634073</v>
      </c>
    </row>
    <row r="49" spans="1:13" x14ac:dyDescent="0.2">
      <c r="A49" t="s">
        <v>54</v>
      </c>
      <c r="B49" t="s">
        <v>24</v>
      </c>
      <c r="C49" t="s">
        <v>25</v>
      </c>
      <c r="D49">
        <v>0.58955661599999998</v>
      </c>
      <c r="E49" s="7">
        <f>ABS(D49)</f>
        <v>0.58955661599999998</v>
      </c>
      <c r="F49">
        <v>0.218390785</v>
      </c>
      <c r="G49">
        <v>146</v>
      </c>
      <c r="H49">
        <v>62</v>
      </c>
      <c r="I49">
        <v>7.7808160000000003E-3</v>
      </c>
      <c r="J49">
        <v>0.13412930000000001</v>
      </c>
      <c r="K49">
        <f>IF(C49=C48,K48+1,1)</f>
        <v>1</v>
      </c>
      <c r="L49">
        <f>MIN(((374/K49)*I49),L50)</f>
        <v>1.3576199999999999E-4</v>
      </c>
      <c r="M49">
        <f>-LOG10(L49)</f>
        <v>3.8672217727634073</v>
      </c>
    </row>
    <row r="50" spans="1:13" x14ac:dyDescent="0.2">
      <c r="A50" t="s">
        <v>111</v>
      </c>
      <c r="B50" t="s">
        <v>10</v>
      </c>
      <c r="C50" t="s">
        <v>11</v>
      </c>
      <c r="D50">
        <v>0.58697569500000002</v>
      </c>
      <c r="E50" s="7">
        <f>ABS(D50)</f>
        <v>0.58697569500000002</v>
      </c>
      <c r="F50">
        <v>0.296447187</v>
      </c>
      <c r="G50">
        <v>146</v>
      </c>
      <c r="H50">
        <v>125</v>
      </c>
      <c r="I50">
        <v>4.9619017000000001E-2</v>
      </c>
      <c r="J50">
        <v>0.34465685200000001</v>
      </c>
      <c r="K50">
        <f>IF(C50=C49,K49+1,1)</f>
        <v>1</v>
      </c>
      <c r="L50">
        <f>MIN(((374/K50)*I50),L51)</f>
        <v>1.3576199999999999E-4</v>
      </c>
      <c r="M50">
        <f>-LOG10(L50)</f>
        <v>3.8672217727634073</v>
      </c>
    </row>
    <row r="51" spans="1:13" x14ac:dyDescent="0.2">
      <c r="A51" t="s">
        <v>142</v>
      </c>
      <c r="B51" t="s">
        <v>24</v>
      </c>
      <c r="C51" t="s">
        <v>25</v>
      </c>
      <c r="D51">
        <v>-0.57866572400000005</v>
      </c>
      <c r="E51" s="7">
        <f>ABS(D51)</f>
        <v>0.57866572400000005</v>
      </c>
      <c r="F51">
        <v>0.37127978900000003</v>
      </c>
      <c r="G51">
        <v>146</v>
      </c>
      <c r="H51">
        <v>92</v>
      </c>
      <c r="I51">
        <v>0.121308479</v>
      </c>
      <c r="J51">
        <v>0.53063591899999996</v>
      </c>
      <c r="K51">
        <f>IF(C51=C50,K50+1,1)</f>
        <v>1</v>
      </c>
      <c r="L51">
        <f>MIN(((374/K51)*I51),L52)</f>
        <v>1.3576199999999999E-4</v>
      </c>
      <c r="M51">
        <f>-LOG10(L51)</f>
        <v>3.8672217727634073</v>
      </c>
    </row>
    <row r="52" spans="1:13" x14ac:dyDescent="0.2">
      <c r="A52" t="s">
        <v>45</v>
      </c>
      <c r="B52" t="s">
        <v>10</v>
      </c>
      <c r="C52" t="s">
        <v>11</v>
      </c>
      <c r="D52">
        <v>-0.57725917500000001</v>
      </c>
      <c r="E52" s="7">
        <f>ABS(D52)</f>
        <v>0.57725917500000001</v>
      </c>
      <c r="F52">
        <v>0.206247503</v>
      </c>
      <c r="G52">
        <v>146</v>
      </c>
      <c r="H52">
        <v>75</v>
      </c>
      <c r="I52">
        <v>5.836468E-3</v>
      </c>
      <c r="J52">
        <v>0.128402288</v>
      </c>
      <c r="K52">
        <f>IF(C52=C51,K51+1,1)</f>
        <v>1</v>
      </c>
      <c r="L52">
        <f>MIN(((374/K52)*I52),L53)</f>
        <v>1.3576199999999999E-4</v>
      </c>
      <c r="M52">
        <f>-LOG10(L52)</f>
        <v>3.8672217727634073</v>
      </c>
    </row>
    <row r="53" spans="1:13" x14ac:dyDescent="0.2">
      <c r="A53" t="s">
        <v>86</v>
      </c>
      <c r="B53" t="s">
        <v>10</v>
      </c>
      <c r="C53" t="s">
        <v>11</v>
      </c>
      <c r="D53">
        <v>-0.56869381100000005</v>
      </c>
      <c r="E53" s="7">
        <f>ABS(D53)</f>
        <v>0.56869381100000005</v>
      </c>
      <c r="F53">
        <v>0.252487611</v>
      </c>
      <c r="G53">
        <v>146</v>
      </c>
      <c r="H53">
        <v>120</v>
      </c>
      <c r="I53">
        <v>2.5822352E-2</v>
      </c>
      <c r="J53">
        <v>0.24829396000000001</v>
      </c>
      <c r="K53">
        <f>IF(C53=C52,K52+1,1)</f>
        <v>2</v>
      </c>
      <c r="L53">
        <f>MIN(((374/K53)*I53),L54)</f>
        <v>1.3576199999999999E-4</v>
      </c>
      <c r="M53">
        <f>-LOG10(L53)</f>
        <v>3.8672217727634073</v>
      </c>
    </row>
    <row r="54" spans="1:13" x14ac:dyDescent="0.2">
      <c r="A54" s="2" t="s">
        <v>14</v>
      </c>
      <c r="B54" s="2" t="s">
        <v>10</v>
      </c>
      <c r="C54" s="2" t="s">
        <v>11</v>
      </c>
      <c r="D54" s="2">
        <v>-0.56670585399999995</v>
      </c>
      <c r="E54" s="2">
        <f>ABS(D54)</f>
        <v>0.56670585399999995</v>
      </c>
      <c r="F54" s="2">
        <v>0.116259062</v>
      </c>
      <c r="G54" s="2">
        <v>146</v>
      </c>
      <c r="H54" s="2">
        <v>20</v>
      </c>
      <c r="I54" s="3">
        <v>2.8600000000000001E-6</v>
      </c>
      <c r="J54" s="2">
        <v>5.3554600000000003E-4</v>
      </c>
      <c r="K54" s="2">
        <f>IF(C54=C53,K53+1,1)</f>
        <v>3</v>
      </c>
      <c r="L54" s="2">
        <f>MIN(((374/K54)*I54),L55)</f>
        <v>1.3576199999999999E-4</v>
      </c>
      <c r="M54" s="2">
        <f>-LOG10(L54)</f>
        <v>3.8672217727634073</v>
      </c>
    </row>
    <row r="55" spans="1:13" x14ac:dyDescent="0.2">
      <c r="A55" t="s">
        <v>175</v>
      </c>
      <c r="B55" t="s">
        <v>10</v>
      </c>
      <c r="C55" t="s">
        <v>11</v>
      </c>
      <c r="D55">
        <v>-0.55695636500000001</v>
      </c>
      <c r="E55" s="7">
        <f>ABS(D55)</f>
        <v>0.55695636500000001</v>
      </c>
      <c r="F55">
        <v>0.38402819500000002</v>
      </c>
      <c r="G55">
        <v>146</v>
      </c>
      <c r="H55">
        <v>42</v>
      </c>
      <c r="I55">
        <v>0.14916453599999999</v>
      </c>
      <c r="J55">
        <v>0.58623310900000003</v>
      </c>
      <c r="K55">
        <f>IF(C55=C54,K54+1,1)</f>
        <v>4</v>
      </c>
      <c r="L55">
        <f>MIN(((374/K55)*I55),L56)</f>
        <v>1.3576199999999999E-4</v>
      </c>
      <c r="M55">
        <f>-LOG10(L55)</f>
        <v>3.8672217727634073</v>
      </c>
    </row>
    <row r="56" spans="1:13" x14ac:dyDescent="0.2">
      <c r="A56" t="s">
        <v>121</v>
      </c>
      <c r="B56" t="s">
        <v>10</v>
      </c>
      <c r="C56" t="s">
        <v>11</v>
      </c>
      <c r="D56">
        <v>-0.55585404000000005</v>
      </c>
      <c r="E56" s="7">
        <f>ABS(D56)</f>
        <v>0.55585404000000005</v>
      </c>
      <c r="F56">
        <v>0.29325993</v>
      </c>
      <c r="G56">
        <v>146</v>
      </c>
      <c r="H56">
        <v>24</v>
      </c>
      <c r="I56">
        <v>6.0053284999999998E-2</v>
      </c>
      <c r="J56">
        <v>0.37123848799999998</v>
      </c>
      <c r="K56">
        <f>IF(C56=C55,K55+1,1)</f>
        <v>5</v>
      </c>
      <c r="L56">
        <f>MIN(((374/K56)*I56),L57)</f>
        <v>1.3576199999999999E-4</v>
      </c>
      <c r="M56">
        <f>-LOG10(L56)</f>
        <v>3.8672217727634073</v>
      </c>
    </row>
    <row r="57" spans="1:13" x14ac:dyDescent="0.2">
      <c r="A57" t="s">
        <v>72</v>
      </c>
      <c r="B57" t="s">
        <v>10</v>
      </c>
      <c r="C57" t="s">
        <v>11</v>
      </c>
      <c r="D57">
        <v>-0.55568491399999997</v>
      </c>
      <c r="E57" s="7">
        <f>ABS(D57)</f>
        <v>0.55568491399999997</v>
      </c>
      <c r="F57">
        <v>0.23054417799999999</v>
      </c>
      <c r="G57">
        <v>146</v>
      </c>
      <c r="H57">
        <v>107</v>
      </c>
      <c r="I57">
        <v>1.7209188E-2</v>
      </c>
      <c r="J57">
        <v>0.207620529</v>
      </c>
      <c r="K57">
        <f>IF(C57=C56,K56+1,1)</f>
        <v>6</v>
      </c>
      <c r="L57">
        <f>MIN(((374/K57)*I57),L58)</f>
        <v>1.3576199999999999E-4</v>
      </c>
      <c r="M57">
        <f>-LOG10(L57)</f>
        <v>3.8672217727634073</v>
      </c>
    </row>
    <row r="58" spans="1:13" x14ac:dyDescent="0.2">
      <c r="A58" t="s">
        <v>213</v>
      </c>
      <c r="B58" t="s">
        <v>10</v>
      </c>
      <c r="C58" t="s">
        <v>11</v>
      </c>
      <c r="D58">
        <v>0.551799123</v>
      </c>
      <c r="E58" s="7">
        <f>ABS(D58)</f>
        <v>0.551799123</v>
      </c>
      <c r="F58">
        <v>0.46091545099999998</v>
      </c>
      <c r="G58">
        <v>146</v>
      </c>
      <c r="H58">
        <v>54</v>
      </c>
      <c r="I58">
        <v>0.23321691999999999</v>
      </c>
      <c r="J58">
        <v>0.70913112300000003</v>
      </c>
      <c r="K58">
        <f>IF(C58=C57,K57+1,1)</f>
        <v>7</v>
      </c>
      <c r="L58">
        <f>MIN(((374/K58)*I58),L59)</f>
        <v>1.3576199999999999E-4</v>
      </c>
      <c r="M58">
        <f>-LOG10(L58)</f>
        <v>3.8672217727634073</v>
      </c>
    </row>
    <row r="59" spans="1:13" x14ac:dyDescent="0.2">
      <c r="A59" t="s">
        <v>108</v>
      </c>
      <c r="B59" t="s">
        <v>24</v>
      </c>
      <c r="C59" t="s">
        <v>25</v>
      </c>
      <c r="D59">
        <v>-0.54757181600000004</v>
      </c>
      <c r="E59" s="7">
        <f>ABS(D59)</f>
        <v>0.54757181600000004</v>
      </c>
      <c r="F59">
        <v>0.27290827000000001</v>
      </c>
      <c r="G59">
        <v>146</v>
      </c>
      <c r="H59">
        <v>51</v>
      </c>
      <c r="I59">
        <v>4.6695748000000002E-2</v>
      </c>
      <c r="J59">
        <v>0.33911086899999998</v>
      </c>
      <c r="K59">
        <f>IF(C59=C58,K58+1,1)</f>
        <v>1</v>
      </c>
      <c r="L59">
        <f>MIN(((374/K59)*I59),L60)</f>
        <v>1.3576199999999999E-4</v>
      </c>
      <c r="M59">
        <f>-LOG10(L59)</f>
        <v>3.8672217727634073</v>
      </c>
    </row>
    <row r="60" spans="1:13" x14ac:dyDescent="0.2">
      <c r="A60" t="s">
        <v>75</v>
      </c>
      <c r="B60" t="s">
        <v>24</v>
      </c>
      <c r="C60" t="s">
        <v>25</v>
      </c>
      <c r="D60">
        <v>-0.53446034600000003</v>
      </c>
      <c r="E60" s="7">
        <f>ABS(D60)</f>
        <v>0.53446034600000003</v>
      </c>
      <c r="F60">
        <v>0.269222091</v>
      </c>
      <c r="G60">
        <v>146</v>
      </c>
      <c r="H60">
        <v>75</v>
      </c>
      <c r="I60">
        <v>4.9034816000000002E-2</v>
      </c>
      <c r="J60">
        <v>0.34465685200000001</v>
      </c>
      <c r="K60">
        <f>IF(C60=C59,K59+1,1)</f>
        <v>2</v>
      </c>
      <c r="L60">
        <f>MIN(((374/K60)*I60),L61)</f>
        <v>1.3576199999999999E-4</v>
      </c>
      <c r="M60">
        <f>-LOG10(L60)</f>
        <v>3.8672217727634073</v>
      </c>
    </row>
    <row r="61" spans="1:13" x14ac:dyDescent="0.2">
      <c r="A61" t="s">
        <v>109</v>
      </c>
      <c r="B61" t="s">
        <v>10</v>
      </c>
      <c r="C61" t="s">
        <v>11</v>
      </c>
      <c r="D61">
        <v>0.53284275999999997</v>
      </c>
      <c r="E61" s="7">
        <f>ABS(D61)</f>
        <v>0.53284275999999997</v>
      </c>
      <c r="F61">
        <v>0.267076335</v>
      </c>
      <c r="G61">
        <v>146</v>
      </c>
      <c r="H61">
        <v>82</v>
      </c>
      <c r="I61">
        <v>4.7932716E-2</v>
      </c>
      <c r="J61">
        <v>0.34146353699999998</v>
      </c>
      <c r="K61">
        <f>IF(C61=C60,K60+1,1)</f>
        <v>1</v>
      </c>
      <c r="L61">
        <f>MIN(((374/K61)*I61),L62)</f>
        <v>1.3576199999999999E-4</v>
      </c>
      <c r="M61">
        <f>-LOG10(L61)</f>
        <v>3.8672217727634073</v>
      </c>
    </row>
    <row r="62" spans="1:13" x14ac:dyDescent="0.2">
      <c r="A62" t="s">
        <v>82</v>
      </c>
      <c r="B62" t="s">
        <v>10</v>
      </c>
      <c r="C62" t="s">
        <v>11</v>
      </c>
      <c r="D62">
        <v>0.52956197400000005</v>
      </c>
      <c r="E62" s="7">
        <f>ABS(D62)</f>
        <v>0.52956197400000005</v>
      </c>
      <c r="F62">
        <v>0.23120939600000001</v>
      </c>
      <c r="G62">
        <v>146</v>
      </c>
      <c r="H62">
        <v>66</v>
      </c>
      <c r="I62">
        <v>2.3460643999999999E-2</v>
      </c>
      <c r="J62">
        <v>0.24373002599999999</v>
      </c>
      <c r="K62">
        <f>IF(C62=C61,K61+1,1)</f>
        <v>2</v>
      </c>
      <c r="L62">
        <f>MIN(((374/K62)*I62),L63)</f>
        <v>1.3576199999999999E-4</v>
      </c>
      <c r="M62">
        <f>-LOG10(L62)</f>
        <v>3.8672217727634073</v>
      </c>
    </row>
    <row r="63" spans="1:13" x14ac:dyDescent="0.2">
      <c r="A63" t="s">
        <v>87</v>
      </c>
      <c r="B63" t="s">
        <v>10</v>
      </c>
      <c r="C63" t="s">
        <v>11</v>
      </c>
      <c r="D63">
        <v>-0.52580170400000004</v>
      </c>
      <c r="E63" s="7">
        <f>ABS(D63)</f>
        <v>0.52580170400000004</v>
      </c>
      <c r="F63">
        <v>0.23351804500000001</v>
      </c>
      <c r="G63">
        <v>146</v>
      </c>
      <c r="H63">
        <v>56</v>
      </c>
      <c r="I63">
        <v>2.5868332000000001E-2</v>
      </c>
      <c r="J63">
        <v>0.24829396000000001</v>
      </c>
      <c r="K63">
        <f>IF(C63=C62,K62+1,1)</f>
        <v>3</v>
      </c>
      <c r="L63">
        <f>MIN(((374/K63)*I63),L64)</f>
        <v>1.3576199999999999E-4</v>
      </c>
      <c r="M63">
        <f>-LOG10(L63)</f>
        <v>3.8672217727634073</v>
      </c>
    </row>
    <row r="64" spans="1:13" x14ac:dyDescent="0.2">
      <c r="A64" t="s">
        <v>47</v>
      </c>
      <c r="B64" t="s">
        <v>10</v>
      </c>
      <c r="C64" t="s">
        <v>11</v>
      </c>
      <c r="D64">
        <v>-0.51852774700000004</v>
      </c>
      <c r="E64" s="7">
        <f>ABS(D64)</f>
        <v>0.51852774700000004</v>
      </c>
      <c r="F64">
        <v>0.18743061699999999</v>
      </c>
      <c r="G64">
        <v>146</v>
      </c>
      <c r="H64">
        <v>48</v>
      </c>
      <c r="I64">
        <v>6.4150600000000002E-3</v>
      </c>
      <c r="J64">
        <v>0.12968823400000001</v>
      </c>
      <c r="K64">
        <f>IF(C64=C63,K63+1,1)</f>
        <v>4</v>
      </c>
      <c r="L64">
        <f>MIN(((374/K64)*I64),L65)</f>
        <v>1.3576199999999999E-4</v>
      </c>
      <c r="M64">
        <f>-LOG10(L64)</f>
        <v>3.8672217727634073</v>
      </c>
    </row>
    <row r="65" spans="1:13" x14ac:dyDescent="0.2">
      <c r="A65" t="s">
        <v>46</v>
      </c>
      <c r="B65" t="s">
        <v>10</v>
      </c>
      <c r="C65" t="s">
        <v>11</v>
      </c>
      <c r="D65">
        <v>-0.51726245599999998</v>
      </c>
      <c r="E65" s="7">
        <f>ABS(D65)</f>
        <v>0.51726245599999998</v>
      </c>
      <c r="F65">
        <v>0.18438384699999999</v>
      </c>
      <c r="G65">
        <v>146</v>
      </c>
      <c r="H65">
        <v>65</v>
      </c>
      <c r="I65">
        <v>5.7263110000000004E-3</v>
      </c>
      <c r="J65">
        <v>0.128402288</v>
      </c>
      <c r="K65">
        <f>IF(C65=C64,K64+1,1)</f>
        <v>5</v>
      </c>
      <c r="L65">
        <f>MIN(((374/K65)*I65),L66)</f>
        <v>1.3576199999999999E-4</v>
      </c>
      <c r="M65">
        <f>-LOG10(L65)</f>
        <v>3.8672217727634073</v>
      </c>
    </row>
    <row r="66" spans="1:13" x14ac:dyDescent="0.2">
      <c r="A66" t="s">
        <v>132</v>
      </c>
      <c r="B66" t="s">
        <v>10</v>
      </c>
      <c r="C66" t="s">
        <v>11</v>
      </c>
      <c r="D66">
        <v>-0.514616607</v>
      </c>
      <c r="E66" s="7">
        <f>ABS(D66)</f>
        <v>0.514616607</v>
      </c>
      <c r="F66">
        <v>0.28669731500000001</v>
      </c>
      <c r="G66">
        <v>146</v>
      </c>
      <c r="H66">
        <v>58</v>
      </c>
      <c r="I66">
        <v>7.4768635E-2</v>
      </c>
      <c r="J66">
        <v>0.42368893400000002</v>
      </c>
      <c r="K66">
        <f>IF(C66=C65,K65+1,1)</f>
        <v>6</v>
      </c>
      <c r="L66">
        <f>MIN(((374/K66)*I66),L67)</f>
        <v>1.3576199999999999E-4</v>
      </c>
      <c r="M66">
        <f>-LOG10(L66)</f>
        <v>3.8672217727634073</v>
      </c>
    </row>
    <row r="67" spans="1:13" x14ac:dyDescent="0.2">
      <c r="A67" t="s">
        <v>98</v>
      </c>
      <c r="B67" t="s">
        <v>10</v>
      </c>
      <c r="C67" t="s">
        <v>11</v>
      </c>
      <c r="D67">
        <v>-0.51455865599999995</v>
      </c>
      <c r="E67" s="7">
        <f>ABS(D67)</f>
        <v>0.51455865599999995</v>
      </c>
      <c r="F67">
        <v>0.24121596200000001</v>
      </c>
      <c r="G67">
        <v>146</v>
      </c>
      <c r="H67">
        <v>87</v>
      </c>
      <c r="I67">
        <v>3.4616569999999999E-2</v>
      </c>
      <c r="J67">
        <v>0.284540601</v>
      </c>
      <c r="K67">
        <f>IF(C67=C66,K66+1,1)</f>
        <v>7</v>
      </c>
      <c r="L67">
        <f>MIN(((374/K67)*I67),L68)</f>
        <v>1.3576199999999999E-4</v>
      </c>
      <c r="M67">
        <f>-LOG10(L67)</f>
        <v>3.8672217727634073</v>
      </c>
    </row>
    <row r="68" spans="1:13" x14ac:dyDescent="0.2">
      <c r="A68" s="2" t="s">
        <v>39</v>
      </c>
      <c r="B68" s="2" t="s">
        <v>10</v>
      </c>
      <c r="C68" s="2" t="s">
        <v>11</v>
      </c>
      <c r="D68" s="2">
        <v>-0.51265497900000001</v>
      </c>
      <c r="E68" s="2">
        <f>ABS(D68)</f>
        <v>0.51265497900000001</v>
      </c>
      <c r="F68" s="2">
        <v>0.173111406</v>
      </c>
      <c r="G68" s="2">
        <v>146</v>
      </c>
      <c r="H68" s="2">
        <v>24</v>
      </c>
      <c r="I68" s="2">
        <v>3.5867469999999999E-3</v>
      </c>
      <c r="J68" s="2">
        <v>9.6329317999999997E-2</v>
      </c>
      <c r="K68" s="2">
        <f>IF(C68=C67,K67+1,1)</f>
        <v>8</v>
      </c>
      <c r="L68" s="2">
        <f>MIN(((374/K68)*I68),L69)</f>
        <v>1.3576199999999999E-4</v>
      </c>
      <c r="M68" s="2">
        <f>-LOG10(L68)</f>
        <v>3.8672217727634073</v>
      </c>
    </row>
    <row r="69" spans="1:13" x14ac:dyDescent="0.2">
      <c r="A69" t="s">
        <v>169</v>
      </c>
      <c r="B69" t="s">
        <v>24</v>
      </c>
      <c r="C69" t="s">
        <v>25</v>
      </c>
      <c r="D69">
        <v>-0.50534587099999995</v>
      </c>
      <c r="E69" s="7">
        <f>ABS(D69)</f>
        <v>0.50534587099999995</v>
      </c>
      <c r="F69">
        <v>0.33833884400000003</v>
      </c>
      <c r="G69">
        <v>146</v>
      </c>
      <c r="H69">
        <v>44</v>
      </c>
      <c r="I69">
        <v>0.13748110699999999</v>
      </c>
      <c r="J69">
        <v>0.56815396500000004</v>
      </c>
      <c r="K69">
        <f>IF(C69=C68,K68+1,1)</f>
        <v>1</v>
      </c>
      <c r="L69">
        <f>MIN(((374/K69)*I69),L70)</f>
        <v>1.3576199999999999E-4</v>
      </c>
      <c r="M69">
        <f>-LOG10(L69)</f>
        <v>3.8672217727634073</v>
      </c>
    </row>
    <row r="70" spans="1:13" x14ac:dyDescent="0.2">
      <c r="A70" s="2" t="s">
        <v>36</v>
      </c>
      <c r="B70" s="2" t="s">
        <v>10</v>
      </c>
      <c r="C70" s="2" t="s">
        <v>11</v>
      </c>
      <c r="D70" s="2">
        <v>-0.50515876100000001</v>
      </c>
      <c r="E70" s="2">
        <f>ABS(D70)</f>
        <v>0.50515876100000001</v>
      </c>
      <c r="F70" s="2">
        <v>0.16736652699999999</v>
      </c>
      <c r="G70" s="2">
        <v>146</v>
      </c>
      <c r="H70" s="2">
        <v>40</v>
      </c>
      <c r="I70" s="2">
        <v>3.0107879999999999E-3</v>
      </c>
      <c r="J70" s="2">
        <v>9.0082791999999995E-2</v>
      </c>
      <c r="K70" s="2">
        <f>IF(C70=C69,K69+1,1)</f>
        <v>1</v>
      </c>
      <c r="L70" s="2">
        <f>MIN(((374/K70)*I70),L71)</f>
        <v>1.3576199999999999E-4</v>
      </c>
      <c r="M70" s="2">
        <f>-LOG10(L70)</f>
        <v>3.8672217727634073</v>
      </c>
    </row>
    <row r="71" spans="1:13" x14ac:dyDescent="0.2">
      <c r="A71" t="s">
        <v>104</v>
      </c>
      <c r="B71" t="s">
        <v>10</v>
      </c>
      <c r="C71" t="s">
        <v>11</v>
      </c>
      <c r="D71">
        <v>-0.50378743299999995</v>
      </c>
      <c r="E71" s="7">
        <f>ABS(D71)</f>
        <v>0.50378743299999995</v>
      </c>
      <c r="F71">
        <v>0.249095813</v>
      </c>
      <c r="G71">
        <v>146</v>
      </c>
      <c r="H71">
        <v>35</v>
      </c>
      <c r="I71">
        <v>4.4992753000000003E-2</v>
      </c>
      <c r="J71">
        <v>0.33654579400000001</v>
      </c>
      <c r="K71">
        <f>IF(C71=C70,K70+1,1)</f>
        <v>2</v>
      </c>
      <c r="L71">
        <f>MIN(((374/K71)*I71),L72)</f>
        <v>1.3576199999999999E-4</v>
      </c>
      <c r="M71">
        <f>-LOG10(L71)</f>
        <v>3.8672217727634073</v>
      </c>
    </row>
    <row r="72" spans="1:13" x14ac:dyDescent="0.2">
      <c r="A72" t="s">
        <v>91</v>
      </c>
      <c r="B72" t="s">
        <v>10</v>
      </c>
      <c r="C72" t="s">
        <v>11</v>
      </c>
      <c r="D72">
        <v>0.50074914400000003</v>
      </c>
      <c r="E72" s="7">
        <f>ABS(D72)</f>
        <v>0.50074914400000003</v>
      </c>
      <c r="F72">
        <v>0.22210475299999999</v>
      </c>
      <c r="G72">
        <v>146</v>
      </c>
      <c r="H72">
        <v>65</v>
      </c>
      <c r="I72">
        <v>2.5680314999999999E-2</v>
      </c>
      <c r="J72">
        <v>0.24829396000000001</v>
      </c>
      <c r="K72">
        <f>IF(C72=C71,K71+1,1)</f>
        <v>3</v>
      </c>
      <c r="L72">
        <f>MIN(((374/K72)*I72),L73)</f>
        <v>1.3576199999999999E-4</v>
      </c>
      <c r="M72">
        <f>-LOG10(L72)</f>
        <v>3.8672217727634073</v>
      </c>
    </row>
    <row r="73" spans="1:13" x14ac:dyDescent="0.2">
      <c r="A73" s="2" t="s">
        <v>21</v>
      </c>
      <c r="B73" s="2" t="s">
        <v>10</v>
      </c>
      <c r="C73" s="2" t="s">
        <v>11</v>
      </c>
      <c r="D73" s="2">
        <v>-0.49909005299999998</v>
      </c>
      <c r="E73" s="2">
        <f>ABS(D73)</f>
        <v>0.49909005299999998</v>
      </c>
      <c r="F73" s="2">
        <v>0.14200599899999999</v>
      </c>
      <c r="G73" s="2">
        <v>146</v>
      </c>
      <c r="H73" s="2">
        <v>29</v>
      </c>
      <c r="I73" s="2">
        <v>5.90239E-4</v>
      </c>
      <c r="J73" s="2">
        <v>4.0136280000000003E-2</v>
      </c>
      <c r="K73" s="2">
        <f>IF(C73=C72,K72+1,1)</f>
        <v>4</v>
      </c>
      <c r="L73" s="2">
        <f>MIN(((374/K73)*I73),L74)</f>
        <v>1.3576199999999999E-4</v>
      </c>
      <c r="M73" s="2">
        <f>-LOG10(L73)</f>
        <v>3.8672217727634073</v>
      </c>
    </row>
    <row r="74" spans="1:13" x14ac:dyDescent="0.2">
      <c r="A74" s="2" t="s">
        <v>35</v>
      </c>
      <c r="B74" s="2" t="s">
        <v>10</v>
      </c>
      <c r="C74" s="2" t="s">
        <v>11</v>
      </c>
      <c r="D74" s="2">
        <v>-0.49518401899999998</v>
      </c>
      <c r="E74" s="2">
        <f>ABS(D74)</f>
        <v>0.49518401899999998</v>
      </c>
      <c r="F74" s="2">
        <v>0.16025481</v>
      </c>
      <c r="G74" s="2">
        <v>146</v>
      </c>
      <c r="H74" s="2">
        <v>35</v>
      </c>
      <c r="I74" s="2">
        <v>2.4061199999999999E-3</v>
      </c>
      <c r="J74" s="2">
        <v>7.8251210000000002E-2</v>
      </c>
      <c r="K74" s="2">
        <f>IF(C74=C73,K73+1,1)</f>
        <v>5</v>
      </c>
      <c r="L74" s="2">
        <f>MIN(((374/K74)*I74),L75)</f>
        <v>1.3576199999999999E-4</v>
      </c>
      <c r="M74" s="2">
        <f>-LOG10(L74)</f>
        <v>3.8672217727634073</v>
      </c>
    </row>
    <row r="75" spans="1:13" x14ac:dyDescent="0.2">
      <c r="A75" t="s">
        <v>82</v>
      </c>
      <c r="B75" t="s">
        <v>24</v>
      </c>
      <c r="C75" t="s">
        <v>25</v>
      </c>
      <c r="D75">
        <v>0.48511212300000001</v>
      </c>
      <c r="E75" s="7">
        <f>ABS(D75)</f>
        <v>0.48511212300000001</v>
      </c>
      <c r="F75">
        <v>0.21611514700000001</v>
      </c>
      <c r="G75">
        <v>146</v>
      </c>
      <c r="H75">
        <v>66</v>
      </c>
      <c r="I75">
        <v>2.6323020999999999E-2</v>
      </c>
      <c r="J75">
        <v>0.24829396000000001</v>
      </c>
      <c r="K75">
        <f>IF(C75=C74,K74+1,1)</f>
        <v>1</v>
      </c>
      <c r="L75">
        <f>MIN(((374/K75)*I75),L76)</f>
        <v>1.3576199999999999E-4</v>
      </c>
      <c r="M75">
        <f>-LOG10(L75)</f>
        <v>3.8672217727634073</v>
      </c>
    </row>
    <row r="76" spans="1:13" x14ac:dyDescent="0.2">
      <c r="A76" t="s">
        <v>67</v>
      </c>
      <c r="B76" t="s">
        <v>10</v>
      </c>
      <c r="C76" t="s">
        <v>11</v>
      </c>
      <c r="D76">
        <v>0.47044730699999998</v>
      </c>
      <c r="E76" s="7">
        <f>ABS(D76)</f>
        <v>0.47044730699999998</v>
      </c>
      <c r="F76">
        <v>0.19207154100000001</v>
      </c>
      <c r="G76">
        <v>146</v>
      </c>
      <c r="H76">
        <v>32</v>
      </c>
      <c r="I76">
        <v>1.5520822E-2</v>
      </c>
      <c r="J76">
        <v>0.196778758</v>
      </c>
      <c r="K76">
        <f>IF(C76=C75,K75+1,1)</f>
        <v>1</v>
      </c>
      <c r="L76">
        <f>MIN(((374/K76)*I76),L77)</f>
        <v>1.3576199999999999E-4</v>
      </c>
      <c r="M76">
        <f>-LOG10(L76)</f>
        <v>3.8672217727634073</v>
      </c>
    </row>
    <row r="77" spans="1:13" x14ac:dyDescent="0.2">
      <c r="A77" t="s">
        <v>172</v>
      </c>
      <c r="B77" t="s">
        <v>10</v>
      </c>
      <c r="C77" t="s">
        <v>11</v>
      </c>
      <c r="D77">
        <v>0.46495677099999999</v>
      </c>
      <c r="E77" s="7">
        <f>ABS(D77)</f>
        <v>0.46495677099999999</v>
      </c>
      <c r="F77">
        <v>0.31732678399999997</v>
      </c>
      <c r="G77">
        <v>146</v>
      </c>
      <c r="H77">
        <v>111</v>
      </c>
      <c r="I77">
        <v>0.14505336599999999</v>
      </c>
      <c r="J77">
        <v>0.58285126200000004</v>
      </c>
      <c r="K77">
        <f>IF(C77=C76,K76+1,1)</f>
        <v>2</v>
      </c>
      <c r="L77">
        <f>MIN(((374/K77)*I77),L78)</f>
        <v>1.3576199999999999E-4</v>
      </c>
      <c r="M77">
        <f>-LOG10(L77)</f>
        <v>3.8672217727634073</v>
      </c>
    </row>
    <row r="78" spans="1:13" x14ac:dyDescent="0.2">
      <c r="A78" t="s">
        <v>192</v>
      </c>
      <c r="B78" t="s">
        <v>24</v>
      </c>
      <c r="C78" t="s">
        <v>25</v>
      </c>
      <c r="D78">
        <v>-0.46467459999999999</v>
      </c>
      <c r="E78" s="7">
        <f>ABS(D78)</f>
        <v>0.46467459999999999</v>
      </c>
      <c r="F78">
        <v>0.35728157399999999</v>
      </c>
      <c r="G78">
        <v>146</v>
      </c>
      <c r="H78">
        <v>76</v>
      </c>
      <c r="I78">
        <v>0.19549303000000001</v>
      </c>
      <c r="J78">
        <v>0.67386537499999999</v>
      </c>
      <c r="K78">
        <f>IF(C78=C77,K77+1,1)</f>
        <v>1</v>
      </c>
      <c r="L78">
        <f>MIN(((374/K78)*I78),L79)</f>
        <v>1.3576199999999999E-4</v>
      </c>
      <c r="M78">
        <f>-LOG10(L78)</f>
        <v>3.8672217727634073</v>
      </c>
    </row>
    <row r="79" spans="1:13" x14ac:dyDescent="0.2">
      <c r="A79" t="s">
        <v>51</v>
      </c>
      <c r="B79" t="s">
        <v>10</v>
      </c>
      <c r="C79" t="s">
        <v>11</v>
      </c>
      <c r="D79">
        <v>-0.46128775900000002</v>
      </c>
      <c r="E79" s="7">
        <f>ABS(D79)</f>
        <v>0.46128775900000002</v>
      </c>
      <c r="F79">
        <v>0.319097411</v>
      </c>
      <c r="G79">
        <v>146</v>
      </c>
      <c r="H79">
        <v>122</v>
      </c>
      <c r="I79">
        <v>0.150476948</v>
      </c>
      <c r="J79">
        <v>0.58623310900000003</v>
      </c>
      <c r="K79">
        <f>IF(C79=C78,K78+1,1)</f>
        <v>1</v>
      </c>
      <c r="L79">
        <f>MIN(((374/K79)*I79),L80)</f>
        <v>1.3576199999999999E-4</v>
      </c>
      <c r="M79">
        <f>-LOG10(L79)</f>
        <v>3.8672217727634073</v>
      </c>
    </row>
    <row r="80" spans="1:13" x14ac:dyDescent="0.2">
      <c r="A80" s="2" t="s">
        <v>9</v>
      </c>
      <c r="B80" s="2" t="s">
        <v>10</v>
      </c>
      <c r="C80" s="2" t="s">
        <v>11</v>
      </c>
      <c r="D80" s="2">
        <v>-0.46044157099999999</v>
      </c>
      <c r="E80" s="2">
        <f>ABS(D80)</f>
        <v>0.46044157099999999</v>
      </c>
      <c r="F80" s="2">
        <v>8.6280372999999994E-2</v>
      </c>
      <c r="G80" s="2">
        <v>146</v>
      </c>
      <c r="H80" s="2">
        <v>22</v>
      </c>
      <c r="I80" s="3">
        <v>3.6300000000000001E-7</v>
      </c>
      <c r="J80" s="2">
        <v>2.7149800000000001E-4</v>
      </c>
      <c r="K80" s="2">
        <v>1</v>
      </c>
      <c r="L80" s="2">
        <f>MIN(((374/K80)*I80),L81)</f>
        <v>1.3576199999999999E-4</v>
      </c>
      <c r="M80" s="2">
        <f>-LOG10(L80)</f>
        <v>3.8672217727634073</v>
      </c>
    </row>
    <row r="81" spans="1:13" x14ac:dyDescent="0.2">
      <c r="A81" t="s">
        <v>57</v>
      </c>
      <c r="B81" t="s">
        <v>10</v>
      </c>
      <c r="C81" t="s">
        <v>11</v>
      </c>
      <c r="D81">
        <v>-0.46014987299999999</v>
      </c>
      <c r="E81" s="7">
        <f>ABS(D81)</f>
        <v>0.46014987299999999</v>
      </c>
      <c r="F81">
        <v>0.171251242</v>
      </c>
      <c r="G81">
        <v>146</v>
      </c>
      <c r="H81">
        <v>36</v>
      </c>
      <c r="I81">
        <v>8.0646309999999992E-3</v>
      </c>
      <c r="J81">
        <v>0.13412930000000001</v>
      </c>
      <c r="K81">
        <f>IF(C81=C80,K80+1,1)</f>
        <v>2</v>
      </c>
      <c r="L81">
        <f>MIN(((374/K81)*I81),L82)</f>
        <v>7.272222222222222E-4</v>
      </c>
      <c r="M81">
        <f>-LOG10(L81)</f>
        <v>3.1383328585525501</v>
      </c>
    </row>
    <row r="82" spans="1:13" x14ac:dyDescent="0.2">
      <c r="A82" t="s">
        <v>65</v>
      </c>
      <c r="B82" t="s">
        <v>10</v>
      </c>
      <c r="C82" t="s">
        <v>11</v>
      </c>
      <c r="D82">
        <v>0.45160506</v>
      </c>
      <c r="E82" s="7">
        <f>ABS(D82)</f>
        <v>0.45160506</v>
      </c>
      <c r="F82">
        <v>0.17832514499999999</v>
      </c>
      <c r="G82">
        <v>146</v>
      </c>
      <c r="H82">
        <v>71</v>
      </c>
      <c r="I82">
        <v>1.2405431999999999E-2</v>
      </c>
      <c r="J82">
        <v>0.171838202</v>
      </c>
      <c r="K82">
        <f>IF(C82=C81,K81+1,1)</f>
        <v>3</v>
      </c>
      <c r="L82">
        <f>MIN(((374/K82)*I82),L83)</f>
        <v>7.272222222222222E-4</v>
      </c>
      <c r="M82">
        <f>-LOG10(L82)</f>
        <v>3.1383328585525501</v>
      </c>
    </row>
    <row r="83" spans="1:13" x14ac:dyDescent="0.2">
      <c r="A83" t="s">
        <v>83</v>
      </c>
      <c r="B83" t="s">
        <v>10</v>
      </c>
      <c r="C83" t="s">
        <v>11</v>
      </c>
      <c r="D83">
        <v>0.450278923</v>
      </c>
      <c r="E83" s="7">
        <f>ABS(D83)</f>
        <v>0.450278923</v>
      </c>
      <c r="F83">
        <v>0.202398352</v>
      </c>
      <c r="G83">
        <v>146</v>
      </c>
      <c r="H83">
        <v>42</v>
      </c>
      <c r="I83">
        <v>2.7666919000000002E-2</v>
      </c>
      <c r="J83">
        <v>0.24829396000000001</v>
      </c>
      <c r="K83">
        <f>IF(C83=C82,K82+1,1)</f>
        <v>4</v>
      </c>
      <c r="L83">
        <f>MIN(((374/K83)*I83),L84)</f>
        <v>7.272222222222222E-4</v>
      </c>
      <c r="M83">
        <f>-LOG10(L83)</f>
        <v>3.1383328585525501</v>
      </c>
    </row>
    <row r="84" spans="1:13" x14ac:dyDescent="0.2">
      <c r="A84" t="s">
        <v>115</v>
      </c>
      <c r="B84" t="s">
        <v>10</v>
      </c>
      <c r="C84" t="s">
        <v>11</v>
      </c>
      <c r="D84">
        <v>-0.44544829499999999</v>
      </c>
      <c r="E84" s="7">
        <f>ABS(D84)</f>
        <v>0.44544829499999999</v>
      </c>
      <c r="F84">
        <v>0.230320739</v>
      </c>
      <c r="G84">
        <v>146</v>
      </c>
      <c r="H84">
        <v>64</v>
      </c>
      <c r="I84">
        <v>5.5083840000000002E-2</v>
      </c>
      <c r="J84">
        <v>0.35406327900000001</v>
      </c>
      <c r="K84">
        <f>IF(C84=C83,K83+1,1)</f>
        <v>5</v>
      </c>
      <c r="L84">
        <f>MIN(((374/K84)*I84),L85)</f>
        <v>7.272222222222222E-4</v>
      </c>
      <c r="M84">
        <f>-LOG10(L84)</f>
        <v>3.1383328585525501</v>
      </c>
    </row>
    <row r="85" spans="1:13" x14ac:dyDescent="0.2">
      <c r="A85" t="s">
        <v>129</v>
      </c>
      <c r="B85" t="s">
        <v>10</v>
      </c>
      <c r="C85" t="s">
        <v>11</v>
      </c>
      <c r="D85">
        <v>0.44519040500000001</v>
      </c>
      <c r="E85" s="7">
        <f>ABS(D85)</f>
        <v>0.44519040500000001</v>
      </c>
      <c r="F85">
        <v>0.243759381</v>
      </c>
      <c r="G85">
        <v>146</v>
      </c>
      <c r="H85">
        <v>80</v>
      </c>
      <c r="I85">
        <v>6.9882956999999996E-2</v>
      </c>
      <c r="J85">
        <v>0.40521280399999998</v>
      </c>
      <c r="K85">
        <f>IF(C85=C84,K84+1,1)</f>
        <v>6</v>
      </c>
      <c r="L85">
        <f>MIN(((374/K85)*I85),L86)</f>
        <v>7.272222222222222E-4</v>
      </c>
      <c r="M85">
        <f>-LOG10(L85)</f>
        <v>3.1383328585525501</v>
      </c>
    </row>
    <row r="86" spans="1:13" x14ac:dyDescent="0.2">
      <c r="A86" t="s">
        <v>143</v>
      </c>
      <c r="B86" t="s">
        <v>10</v>
      </c>
      <c r="C86" t="s">
        <v>11</v>
      </c>
      <c r="D86">
        <v>-0.44065369500000001</v>
      </c>
      <c r="E86" s="7">
        <f>ABS(D86)</f>
        <v>0.44065369500000001</v>
      </c>
      <c r="F86">
        <v>0.25984199000000002</v>
      </c>
      <c r="G86">
        <v>146</v>
      </c>
      <c r="H86">
        <v>31</v>
      </c>
      <c r="I86">
        <v>9.2089869000000005E-2</v>
      </c>
      <c r="J86">
        <v>0.46317881599999999</v>
      </c>
      <c r="K86">
        <f>IF(C86=C85,K85+1,1)</f>
        <v>7</v>
      </c>
      <c r="L86">
        <f>MIN(((374/K86)*I86),L87)</f>
        <v>7.272222222222222E-4</v>
      </c>
      <c r="M86">
        <f>-LOG10(L86)</f>
        <v>3.1383328585525501</v>
      </c>
    </row>
    <row r="87" spans="1:13" x14ac:dyDescent="0.2">
      <c r="A87" t="s">
        <v>205</v>
      </c>
      <c r="B87" t="s">
        <v>24</v>
      </c>
      <c r="C87" t="s">
        <v>25</v>
      </c>
      <c r="D87">
        <v>-0.43966720199999998</v>
      </c>
      <c r="E87" s="7">
        <f>ABS(D87)</f>
        <v>0.43966720199999998</v>
      </c>
      <c r="F87">
        <v>0.356776706</v>
      </c>
      <c r="G87">
        <v>146</v>
      </c>
      <c r="H87">
        <v>56</v>
      </c>
      <c r="I87">
        <v>0.21984757999999999</v>
      </c>
      <c r="J87">
        <v>0.70096630199999999</v>
      </c>
      <c r="K87">
        <f>IF(C87=C86,K86+1,1)</f>
        <v>1</v>
      </c>
      <c r="L87">
        <f>MIN(((374/K87)*I87),L88)</f>
        <v>7.272222222222222E-4</v>
      </c>
      <c r="M87">
        <f>-LOG10(L87)</f>
        <v>3.1383328585525501</v>
      </c>
    </row>
    <row r="88" spans="1:13" x14ac:dyDescent="0.2">
      <c r="A88" t="s">
        <v>69</v>
      </c>
      <c r="B88" t="s">
        <v>10</v>
      </c>
      <c r="C88" t="s">
        <v>11</v>
      </c>
      <c r="D88">
        <v>0.43814313199999999</v>
      </c>
      <c r="E88" s="7">
        <f>ABS(D88)</f>
        <v>0.43814313199999999</v>
      </c>
      <c r="F88">
        <v>0.17749029499999999</v>
      </c>
      <c r="G88">
        <v>146</v>
      </c>
      <c r="H88">
        <v>51</v>
      </c>
      <c r="I88">
        <v>1.4744818999999999E-2</v>
      </c>
      <c r="J88">
        <v>0.196778758</v>
      </c>
      <c r="K88">
        <f>IF(C88=C87,K87+1,1)</f>
        <v>1</v>
      </c>
      <c r="L88">
        <f>MIN(((374/K88)*I88),L89)</f>
        <v>7.272222222222222E-4</v>
      </c>
      <c r="M88">
        <f>-LOG10(L88)</f>
        <v>3.1383328585525501</v>
      </c>
    </row>
    <row r="89" spans="1:13" x14ac:dyDescent="0.2">
      <c r="A89" t="s">
        <v>116</v>
      </c>
      <c r="B89" t="s">
        <v>10</v>
      </c>
      <c r="C89" t="s">
        <v>11</v>
      </c>
      <c r="D89">
        <v>-0.43769151299999998</v>
      </c>
      <c r="E89" s="7">
        <f>ABS(D89)</f>
        <v>0.43769151299999998</v>
      </c>
      <c r="F89">
        <v>0.226566446</v>
      </c>
      <c r="G89">
        <v>146</v>
      </c>
      <c r="H89">
        <v>77</v>
      </c>
      <c r="I89">
        <v>5.5356005999999999E-2</v>
      </c>
      <c r="J89">
        <v>0.35406327900000001</v>
      </c>
      <c r="K89">
        <f>IF(C89=C88,K88+1,1)</f>
        <v>2</v>
      </c>
      <c r="L89">
        <f>MIN(((374/K89)*I89),L90)</f>
        <v>7.272222222222222E-4</v>
      </c>
      <c r="M89">
        <f>-LOG10(L89)</f>
        <v>3.1383328585525501</v>
      </c>
    </row>
    <row r="90" spans="1:13" x14ac:dyDescent="0.2">
      <c r="A90" t="s">
        <v>162</v>
      </c>
      <c r="B90" t="s">
        <v>10</v>
      </c>
      <c r="C90" t="s">
        <v>11</v>
      </c>
      <c r="D90">
        <v>0.43673577200000002</v>
      </c>
      <c r="E90" s="7">
        <f>ABS(D90)</f>
        <v>0.43673577200000002</v>
      </c>
      <c r="F90">
        <v>0.28224550500000001</v>
      </c>
      <c r="G90">
        <v>146</v>
      </c>
      <c r="H90">
        <v>36</v>
      </c>
      <c r="I90">
        <v>0.12398640800000001</v>
      </c>
      <c r="J90">
        <v>0.53777272399999998</v>
      </c>
      <c r="K90">
        <f>IF(C90=C89,K89+1,1)</f>
        <v>3</v>
      </c>
      <c r="L90">
        <f>MIN(((374/K90)*I90),L91)</f>
        <v>7.272222222222222E-4</v>
      </c>
      <c r="M90">
        <f>-LOG10(L90)</f>
        <v>3.1383328585525501</v>
      </c>
    </row>
    <row r="91" spans="1:13" x14ac:dyDescent="0.2">
      <c r="A91" t="s">
        <v>84</v>
      </c>
      <c r="B91" t="s">
        <v>24</v>
      </c>
      <c r="C91" t="s">
        <v>25</v>
      </c>
      <c r="D91">
        <v>-0.43580672300000001</v>
      </c>
      <c r="E91" s="7">
        <f>ABS(D91)</f>
        <v>0.43580672300000001</v>
      </c>
      <c r="F91">
        <v>0.195631629</v>
      </c>
      <c r="G91">
        <v>146</v>
      </c>
      <c r="H91">
        <v>42</v>
      </c>
      <c r="I91">
        <v>2.7463122E-2</v>
      </c>
      <c r="J91">
        <v>0.24829396000000001</v>
      </c>
      <c r="K91">
        <f>IF(C91=C90,K90+1,1)</f>
        <v>1</v>
      </c>
      <c r="L91">
        <f>MIN(((374/K91)*I91),L92)</f>
        <v>7.272222222222222E-4</v>
      </c>
      <c r="M91">
        <f>-LOG10(L91)</f>
        <v>3.1383328585525501</v>
      </c>
    </row>
    <row r="92" spans="1:13" x14ac:dyDescent="0.2">
      <c r="A92" t="s">
        <v>176</v>
      </c>
      <c r="B92" t="s">
        <v>10</v>
      </c>
      <c r="C92" t="s">
        <v>11</v>
      </c>
      <c r="D92">
        <v>-0.43329508700000002</v>
      </c>
      <c r="E92" s="7">
        <f>ABS(D92)</f>
        <v>0.43329508700000002</v>
      </c>
      <c r="F92">
        <v>0.298092837</v>
      </c>
      <c r="G92">
        <v>146</v>
      </c>
      <c r="H92">
        <v>107</v>
      </c>
      <c r="I92">
        <v>0.148260117</v>
      </c>
      <c r="J92">
        <v>0.58623310900000003</v>
      </c>
      <c r="K92">
        <f>IF(C92=C91,K91+1,1)</f>
        <v>1</v>
      </c>
      <c r="L92">
        <f>MIN(((374/K92)*I92),L93)</f>
        <v>7.272222222222222E-4</v>
      </c>
      <c r="M92">
        <f>-LOG10(L92)</f>
        <v>3.1383328585525501</v>
      </c>
    </row>
    <row r="93" spans="1:13" x14ac:dyDescent="0.2">
      <c r="A93" t="s">
        <v>78</v>
      </c>
      <c r="B93" t="s">
        <v>10</v>
      </c>
      <c r="C93" t="s">
        <v>11</v>
      </c>
      <c r="D93">
        <v>0.43237462700000001</v>
      </c>
      <c r="E93" s="7">
        <f>ABS(D93)</f>
        <v>0.43237462700000001</v>
      </c>
      <c r="F93">
        <v>0.184074611</v>
      </c>
      <c r="G93">
        <v>146</v>
      </c>
      <c r="H93">
        <v>34</v>
      </c>
      <c r="I93">
        <v>2.0197268000000001E-2</v>
      </c>
      <c r="J93">
        <v>0.22216994400000001</v>
      </c>
      <c r="K93">
        <f>IF(C93=C92,K92+1,1)</f>
        <v>2</v>
      </c>
      <c r="L93">
        <f>MIN(((374/K93)*I93),L94)</f>
        <v>7.272222222222222E-4</v>
      </c>
      <c r="M93">
        <f>-LOG10(L93)</f>
        <v>3.1383328585525501</v>
      </c>
    </row>
    <row r="94" spans="1:13" x14ac:dyDescent="0.2">
      <c r="A94" s="2" t="s">
        <v>30</v>
      </c>
      <c r="B94" s="2" t="s">
        <v>10</v>
      </c>
      <c r="C94" s="2" t="s">
        <v>11</v>
      </c>
      <c r="D94" s="2">
        <v>-0.42954455000000002</v>
      </c>
      <c r="E94" s="2">
        <f>ABS(D94)</f>
        <v>0.42954455000000002</v>
      </c>
      <c r="F94" s="2">
        <v>0.13346376400000001</v>
      </c>
      <c r="G94" s="2">
        <v>146</v>
      </c>
      <c r="H94" s="2">
        <v>20</v>
      </c>
      <c r="I94" s="2">
        <v>1.5948729999999999E-3</v>
      </c>
      <c r="J94" s="2">
        <v>6.5987247999999998E-2</v>
      </c>
      <c r="K94" s="2">
        <f>IF(C94=C93,K93+1,1)</f>
        <v>3</v>
      </c>
      <c r="L94" s="2">
        <f>MIN(((374/K94)*I94),L95)</f>
        <v>7.272222222222222E-4</v>
      </c>
      <c r="M94" s="2">
        <f>-LOG10(L94)</f>
        <v>3.1383328585525501</v>
      </c>
    </row>
    <row r="95" spans="1:13" x14ac:dyDescent="0.2">
      <c r="A95" t="s">
        <v>184</v>
      </c>
      <c r="B95" t="s">
        <v>10</v>
      </c>
      <c r="C95" t="s">
        <v>11</v>
      </c>
      <c r="D95">
        <v>0.42585173700000001</v>
      </c>
      <c r="E95" s="7">
        <f>ABS(D95)</f>
        <v>0.42585173700000001</v>
      </c>
      <c r="F95">
        <v>0.30004561899999999</v>
      </c>
      <c r="G95">
        <v>146</v>
      </c>
      <c r="H95">
        <v>69</v>
      </c>
      <c r="I95">
        <v>0.157990609</v>
      </c>
      <c r="J95">
        <v>0.59944281600000004</v>
      </c>
      <c r="K95">
        <f>IF(C95=C94,K94+1,1)</f>
        <v>4</v>
      </c>
      <c r="L95">
        <f>MIN(((374/K95)*I95),L96)</f>
        <v>7.272222222222222E-4</v>
      </c>
      <c r="M95">
        <f>-LOG10(L95)</f>
        <v>3.1383328585525501</v>
      </c>
    </row>
    <row r="96" spans="1:13" x14ac:dyDescent="0.2">
      <c r="A96" t="s">
        <v>150</v>
      </c>
      <c r="B96" t="s">
        <v>10</v>
      </c>
      <c r="C96" t="s">
        <v>11</v>
      </c>
      <c r="D96">
        <v>0.42541414</v>
      </c>
      <c r="E96" s="7">
        <f>ABS(D96)</f>
        <v>0.42541414</v>
      </c>
      <c r="F96">
        <v>0.25588678799999998</v>
      </c>
      <c r="G96">
        <v>146</v>
      </c>
      <c r="H96">
        <v>26</v>
      </c>
      <c r="I96">
        <v>9.8601132999999994E-2</v>
      </c>
      <c r="J96">
        <v>0.48522136500000002</v>
      </c>
      <c r="K96">
        <f>IF(C96=C95,K95+1,1)</f>
        <v>5</v>
      </c>
      <c r="L96">
        <f>MIN(((374/K96)*I96),L97)</f>
        <v>7.272222222222222E-4</v>
      </c>
      <c r="M96">
        <f>-LOG10(L96)</f>
        <v>3.1383328585525501</v>
      </c>
    </row>
    <row r="97" spans="1:13" x14ac:dyDescent="0.2">
      <c r="A97" t="s">
        <v>74</v>
      </c>
      <c r="B97" t="s">
        <v>10</v>
      </c>
      <c r="C97" t="s">
        <v>11</v>
      </c>
      <c r="D97">
        <v>-0.42147328899999997</v>
      </c>
      <c r="E97" s="7">
        <f>ABS(D97)</f>
        <v>0.42147328899999997</v>
      </c>
      <c r="F97">
        <v>0.17831587800000001</v>
      </c>
      <c r="G97">
        <v>146</v>
      </c>
      <c r="H97">
        <v>75</v>
      </c>
      <c r="I97">
        <v>1.9441924999999999E-2</v>
      </c>
      <c r="J97">
        <v>0.21705313700000001</v>
      </c>
      <c r="K97">
        <f>IF(C97=C96,K96+1,1)</f>
        <v>6</v>
      </c>
      <c r="L97">
        <f>MIN(((374/K97)*I97),L98)</f>
        <v>7.272222222222222E-4</v>
      </c>
      <c r="M97">
        <f>-LOG10(L97)</f>
        <v>3.1383328585525501</v>
      </c>
    </row>
    <row r="98" spans="1:13" x14ac:dyDescent="0.2">
      <c r="A98" t="s">
        <v>122</v>
      </c>
      <c r="B98" t="s">
        <v>10</v>
      </c>
      <c r="C98" t="s">
        <v>11</v>
      </c>
      <c r="D98">
        <v>0.42002698100000002</v>
      </c>
      <c r="E98" s="7">
        <f>ABS(D98)</f>
        <v>0.42002698100000002</v>
      </c>
      <c r="F98">
        <v>0.22213102000000001</v>
      </c>
      <c r="G98">
        <v>146</v>
      </c>
      <c r="H98">
        <v>23</v>
      </c>
      <c r="I98">
        <v>6.0660849000000003E-2</v>
      </c>
      <c r="J98">
        <v>0.37192061300000001</v>
      </c>
      <c r="K98">
        <f>IF(C98=C97,K97+1,1)</f>
        <v>7</v>
      </c>
      <c r="L98">
        <f>MIN(((374/K98)*I98),L99)</f>
        <v>7.272222222222222E-4</v>
      </c>
      <c r="M98">
        <f>-LOG10(L98)</f>
        <v>3.1383328585525501</v>
      </c>
    </row>
    <row r="99" spans="1:13" x14ac:dyDescent="0.2">
      <c r="A99" t="s">
        <v>88</v>
      </c>
      <c r="B99" t="s">
        <v>10</v>
      </c>
      <c r="C99" t="s">
        <v>11</v>
      </c>
      <c r="D99">
        <v>0.41677218700000002</v>
      </c>
      <c r="E99" s="7">
        <f>ABS(D99)</f>
        <v>0.41677218700000002</v>
      </c>
      <c r="F99">
        <v>0.18404584099999999</v>
      </c>
      <c r="G99">
        <v>146</v>
      </c>
      <c r="H99">
        <v>34</v>
      </c>
      <c r="I99">
        <v>2.5047017000000001E-2</v>
      </c>
      <c r="J99">
        <v>0.24829396000000001</v>
      </c>
      <c r="K99">
        <f>IF(C99=C98,K98+1,1)</f>
        <v>8</v>
      </c>
      <c r="L99">
        <f>MIN(((374/K99)*I99),L100)</f>
        <v>7.272222222222222E-4</v>
      </c>
      <c r="M99">
        <f>-LOG10(L99)</f>
        <v>3.1383328585525501</v>
      </c>
    </row>
    <row r="100" spans="1:13" x14ac:dyDescent="0.2">
      <c r="A100" s="2" t="s">
        <v>16</v>
      </c>
      <c r="B100" s="2" t="s">
        <v>10</v>
      </c>
      <c r="C100" s="2" t="s">
        <v>11</v>
      </c>
      <c r="D100" s="2">
        <v>-0.41494990799999998</v>
      </c>
      <c r="E100" s="2">
        <f>ABS(D100)</f>
        <v>0.41494990799999998</v>
      </c>
      <c r="F100" s="2">
        <v>9.3344774000000005E-2</v>
      </c>
      <c r="G100" s="2">
        <v>146</v>
      </c>
      <c r="H100" s="2">
        <v>21</v>
      </c>
      <c r="I100" s="3">
        <v>1.7499999999999998E-5</v>
      </c>
      <c r="J100" s="2">
        <v>2.1791800000000002E-3</v>
      </c>
      <c r="K100" s="2">
        <f>IF(C100=C99,K99+1,1)</f>
        <v>9</v>
      </c>
      <c r="L100" s="2">
        <f>MIN(((374/K100)*I100),L101)</f>
        <v>7.272222222222222E-4</v>
      </c>
      <c r="M100" s="2">
        <f>-LOG10(L100)</f>
        <v>3.1383328585525501</v>
      </c>
    </row>
    <row r="101" spans="1:13" x14ac:dyDescent="0.2">
      <c r="A101" t="s">
        <v>41</v>
      </c>
      <c r="B101" t="s">
        <v>10</v>
      </c>
      <c r="C101" t="s">
        <v>11</v>
      </c>
      <c r="D101">
        <v>0.41397561700000002</v>
      </c>
      <c r="E101" s="7">
        <f>ABS(D101)</f>
        <v>0.41397561700000002</v>
      </c>
      <c r="F101">
        <v>0.14090572900000001</v>
      </c>
      <c r="G101">
        <v>146</v>
      </c>
      <c r="H101">
        <v>27</v>
      </c>
      <c r="I101">
        <v>3.8525629999999998E-3</v>
      </c>
      <c r="J101">
        <v>9.9369553999999999E-2</v>
      </c>
      <c r="K101">
        <f>IF(C101=C100,K100+1,1)</f>
        <v>10</v>
      </c>
      <c r="L101">
        <f>MIN(((374/K101)*I101),L102)</f>
        <v>0.1440858562</v>
      </c>
      <c r="M101">
        <f>-LOG10(L101)</f>
        <v>0.84137864844186017</v>
      </c>
    </row>
    <row r="102" spans="1:13" x14ac:dyDescent="0.2">
      <c r="A102" t="s">
        <v>139</v>
      </c>
      <c r="B102" t="s">
        <v>10</v>
      </c>
      <c r="C102" t="s">
        <v>11</v>
      </c>
      <c r="D102">
        <v>0.40943644299999998</v>
      </c>
      <c r="E102" s="7">
        <f>ABS(D102)</f>
        <v>0.40943644299999998</v>
      </c>
      <c r="F102">
        <v>0.233284359</v>
      </c>
      <c r="G102">
        <v>146</v>
      </c>
      <c r="H102">
        <v>79</v>
      </c>
      <c r="I102">
        <v>8.1384427999999995E-2</v>
      </c>
      <c r="J102">
        <v>0.43719253400000002</v>
      </c>
      <c r="K102">
        <f>IF(C102=C101,K101+1,1)</f>
        <v>11</v>
      </c>
      <c r="L102">
        <f>MIN(((374/K102)*I102),L103)</f>
        <v>0.19336239450000001</v>
      </c>
      <c r="M102">
        <f>-LOG10(L102)</f>
        <v>0.71362798448860432</v>
      </c>
    </row>
    <row r="103" spans="1:13" x14ac:dyDescent="0.2">
      <c r="A103" t="s">
        <v>29</v>
      </c>
      <c r="B103" t="s">
        <v>24</v>
      </c>
      <c r="C103" t="s">
        <v>25</v>
      </c>
      <c r="D103">
        <v>0.406398068</v>
      </c>
      <c r="E103" s="7">
        <f>ABS(D103)</f>
        <v>0.406398068</v>
      </c>
      <c r="F103">
        <v>0.31122645700000001</v>
      </c>
      <c r="G103">
        <v>146</v>
      </c>
      <c r="H103">
        <v>106</v>
      </c>
      <c r="I103">
        <v>0.193718907</v>
      </c>
      <c r="J103">
        <v>0.67084139799999998</v>
      </c>
      <c r="K103">
        <f>IF(C103=C102,K102+1,1)</f>
        <v>1</v>
      </c>
      <c r="L103">
        <f>MIN(((374/K103)*I103),L104)</f>
        <v>0.19336239450000001</v>
      </c>
      <c r="M103">
        <f>-LOG10(L103)</f>
        <v>0.71362798448860432</v>
      </c>
    </row>
    <row r="104" spans="1:13" x14ac:dyDescent="0.2">
      <c r="A104" t="s">
        <v>91</v>
      </c>
      <c r="B104" t="s">
        <v>24</v>
      </c>
      <c r="C104" t="s">
        <v>25</v>
      </c>
      <c r="D104">
        <v>0.406315543</v>
      </c>
      <c r="E104" s="7">
        <f>ABS(D104)</f>
        <v>0.406315543</v>
      </c>
      <c r="F104">
        <v>0.20760488999999999</v>
      </c>
      <c r="G104">
        <v>146</v>
      </c>
      <c r="H104">
        <v>65</v>
      </c>
      <c r="I104">
        <v>5.2276497999999998E-2</v>
      </c>
      <c r="J104">
        <v>0.35406327900000001</v>
      </c>
      <c r="K104">
        <f>IF(C104=C103,K103+1,1)</f>
        <v>2</v>
      </c>
      <c r="L104">
        <f>MIN(((374/K104)*I104),L105)</f>
        <v>0.19336239450000001</v>
      </c>
      <c r="M104">
        <f>-LOG10(L104)</f>
        <v>0.71362798448860432</v>
      </c>
    </row>
    <row r="105" spans="1:13" x14ac:dyDescent="0.2">
      <c r="A105" t="s">
        <v>44</v>
      </c>
      <c r="B105" t="s">
        <v>10</v>
      </c>
      <c r="C105" t="s">
        <v>11</v>
      </c>
      <c r="D105">
        <v>-0.40556836600000001</v>
      </c>
      <c r="E105" s="7">
        <f>ABS(D105)</f>
        <v>0.40556836600000001</v>
      </c>
      <c r="F105">
        <v>0.14404302199999999</v>
      </c>
      <c r="G105">
        <v>146</v>
      </c>
      <c r="H105">
        <v>24</v>
      </c>
      <c r="I105">
        <v>5.5562140000000003E-3</v>
      </c>
      <c r="J105">
        <v>0.128402288</v>
      </c>
      <c r="K105">
        <f>IF(C105=C104,K104+1,1)</f>
        <v>1</v>
      </c>
      <c r="L105">
        <f>MIN(((374/K105)*I105),L106)</f>
        <v>0.19336239450000001</v>
      </c>
      <c r="M105">
        <f>-LOG10(L105)</f>
        <v>0.71362798448860432</v>
      </c>
    </row>
    <row r="106" spans="1:13" x14ac:dyDescent="0.2">
      <c r="A106" t="s">
        <v>145</v>
      </c>
      <c r="B106" t="s">
        <v>10</v>
      </c>
      <c r="C106" t="s">
        <v>11</v>
      </c>
      <c r="D106">
        <v>-0.405550311</v>
      </c>
      <c r="E106" s="7">
        <f>ABS(D106)</f>
        <v>0.405550311</v>
      </c>
      <c r="F106">
        <v>0.24683888400000001</v>
      </c>
      <c r="G106">
        <v>146</v>
      </c>
      <c r="H106">
        <v>102</v>
      </c>
      <c r="I106">
        <v>0.10258500800000001</v>
      </c>
      <c r="J106">
        <v>0.494948903</v>
      </c>
      <c r="K106">
        <f>IF(C106=C105,K105+1,1)</f>
        <v>2</v>
      </c>
      <c r="L106">
        <f>MIN(((374/K106)*I106),L107)</f>
        <v>0.19336239450000001</v>
      </c>
      <c r="M106">
        <f>-LOG10(L106)</f>
        <v>0.71362798448860432</v>
      </c>
    </row>
    <row r="107" spans="1:13" x14ac:dyDescent="0.2">
      <c r="A107" t="s">
        <v>180</v>
      </c>
      <c r="B107" t="s">
        <v>10</v>
      </c>
      <c r="C107" t="s">
        <v>11</v>
      </c>
      <c r="D107">
        <v>0.40427997100000002</v>
      </c>
      <c r="E107" s="7">
        <f>ABS(D107)</f>
        <v>0.40427997100000002</v>
      </c>
      <c r="F107">
        <v>0.28683505199999998</v>
      </c>
      <c r="G107">
        <v>146</v>
      </c>
      <c r="H107">
        <v>25</v>
      </c>
      <c r="I107">
        <v>0.16087285900000001</v>
      </c>
      <c r="J107">
        <v>0.59944281600000004</v>
      </c>
      <c r="K107">
        <f>IF(C107=C106,K106+1,1)</f>
        <v>3</v>
      </c>
      <c r="L107">
        <f>MIN(((374/K107)*I107),L108)</f>
        <v>0.19336239450000001</v>
      </c>
      <c r="M107">
        <f>-LOG10(L107)</f>
        <v>0.71362798448860432</v>
      </c>
    </row>
    <row r="108" spans="1:13" x14ac:dyDescent="0.2">
      <c r="A108" t="s">
        <v>200</v>
      </c>
      <c r="B108" t="s">
        <v>10</v>
      </c>
      <c r="C108" t="s">
        <v>11</v>
      </c>
      <c r="D108">
        <v>-0.40258646799999998</v>
      </c>
      <c r="E108" s="7">
        <f>ABS(D108)</f>
        <v>0.40258646799999998</v>
      </c>
      <c r="F108">
        <v>0.32136993800000002</v>
      </c>
      <c r="G108">
        <v>146</v>
      </c>
      <c r="H108">
        <v>36</v>
      </c>
      <c r="I108">
        <v>0.21235241599999999</v>
      </c>
      <c r="J108">
        <v>0.69362273799999996</v>
      </c>
      <c r="K108">
        <f>IF(C108=C107,K107+1,1)</f>
        <v>4</v>
      </c>
      <c r="L108">
        <f>MIN(((374/K108)*I108),L109)</f>
        <v>0.19336239450000001</v>
      </c>
      <c r="M108">
        <f>-LOG10(L108)</f>
        <v>0.71362798448860432</v>
      </c>
    </row>
    <row r="109" spans="1:13" x14ac:dyDescent="0.2">
      <c r="A109" t="s">
        <v>53</v>
      </c>
      <c r="B109" t="s">
        <v>10</v>
      </c>
      <c r="C109" t="s">
        <v>11</v>
      </c>
      <c r="D109">
        <v>-0.39691731699999999</v>
      </c>
      <c r="E109" s="7">
        <f>ABS(D109)</f>
        <v>0.39691731699999999</v>
      </c>
      <c r="F109">
        <v>0.14543297299999999</v>
      </c>
      <c r="G109">
        <v>146</v>
      </c>
      <c r="H109">
        <v>23</v>
      </c>
      <c r="I109">
        <v>7.1461959999999996E-3</v>
      </c>
      <c r="J109">
        <v>0.13412930000000001</v>
      </c>
      <c r="K109">
        <f>IF(C109=C108,K108+1,1)</f>
        <v>5</v>
      </c>
      <c r="L109">
        <f>MIN(((374/K109)*I109),L110)</f>
        <v>0.19336239450000001</v>
      </c>
      <c r="M109">
        <f>-LOG10(L109)</f>
        <v>0.71362798448860432</v>
      </c>
    </row>
    <row r="110" spans="1:13" x14ac:dyDescent="0.2">
      <c r="A110" t="s">
        <v>145</v>
      </c>
      <c r="B110" t="s">
        <v>24</v>
      </c>
      <c r="C110" t="s">
        <v>25</v>
      </c>
      <c r="D110">
        <v>0.390722344</v>
      </c>
      <c r="E110" s="7">
        <f>ABS(D110)</f>
        <v>0.390722344</v>
      </c>
      <c r="F110">
        <v>0.230724282</v>
      </c>
      <c r="G110">
        <v>146</v>
      </c>
      <c r="H110">
        <v>102</v>
      </c>
      <c r="I110">
        <v>9.2545152000000006E-2</v>
      </c>
      <c r="J110">
        <v>0.46317881599999999</v>
      </c>
      <c r="K110">
        <f>IF(C110=C109,K109+1,1)</f>
        <v>1</v>
      </c>
      <c r="L110">
        <f>MIN(((374/K110)*I110),L111)</f>
        <v>0.19336239450000001</v>
      </c>
      <c r="M110">
        <f>-LOG10(L110)</f>
        <v>0.71362798448860432</v>
      </c>
    </row>
    <row r="111" spans="1:13" x14ac:dyDescent="0.2">
      <c r="A111" t="s">
        <v>79</v>
      </c>
      <c r="B111" t="s">
        <v>10</v>
      </c>
      <c r="C111" t="s">
        <v>11</v>
      </c>
      <c r="D111">
        <v>-0.38893621299999998</v>
      </c>
      <c r="E111" s="7">
        <f>ABS(D111)</f>
        <v>0.38893621299999998</v>
      </c>
      <c r="F111">
        <v>0.16649845599999999</v>
      </c>
      <c r="G111">
        <v>146</v>
      </c>
      <c r="H111">
        <v>31</v>
      </c>
      <c r="I111">
        <v>2.0882079000000001E-2</v>
      </c>
      <c r="J111">
        <v>0.22637384299999999</v>
      </c>
      <c r="K111">
        <f>IF(C111=C110,K110+1,1)</f>
        <v>1</v>
      </c>
      <c r="L111">
        <f>MIN(((374/K111)*I111),L112)</f>
        <v>0.19336239450000001</v>
      </c>
      <c r="M111">
        <f>-LOG10(L111)</f>
        <v>0.71362798448860432</v>
      </c>
    </row>
    <row r="112" spans="1:13" x14ac:dyDescent="0.2">
      <c r="A112" t="s">
        <v>127</v>
      </c>
      <c r="B112" t="s">
        <v>10</v>
      </c>
      <c r="C112" t="s">
        <v>11</v>
      </c>
      <c r="D112">
        <v>0.38437234300000001</v>
      </c>
      <c r="E112" s="7">
        <f>ABS(D112)</f>
        <v>0.38437234300000001</v>
      </c>
      <c r="F112">
        <v>0.208001095</v>
      </c>
      <c r="G112">
        <v>146</v>
      </c>
      <c r="H112">
        <v>118</v>
      </c>
      <c r="I112">
        <v>6.6677749999999994E-2</v>
      </c>
      <c r="J112">
        <v>0.3896481</v>
      </c>
      <c r="K112">
        <f>IF(C112=C111,K111+1,1)</f>
        <v>2</v>
      </c>
      <c r="L112">
        <f>MIN(((374/K112)*I112),L113)</f>
        <v>0.19336239450000001</v>
      </c>
      <c r="M112">
        <f>-LOG10(L112)</f>
        <v>0.71362798448860432</v>
      </c>
    </row>
    <row r="113" spans="1:13" x14ac:dyDescent="0.2">
      <c r="A113" t="s">
        <v>70</v>
      </c>
      <c r="B113" t="s">
        <v>10</v>
      </c>
      <c r="C113" t="s">
        <v>11</v>
      </c>
      <c r="D113">
        <v>-0.38267001499999997</v>
      </c>
      <c r="E113" s="7">
        <f>ABS(D113)</f>
        <v>0.38267001499999997</v>
      </c>
      <c r="F113">
        <v>0.15674063399999999</v>
      </c>
      <c r="G113">
        <v>146</v>
      </c>
      <c r="H113">
        <v>41</v>
      </c>
      <c r="I113">
        <v>1.585079E-2</v>
      </c>
      <c r="J113">
        <v>0.19760651200000001</v>
      </c>
      <c r="K113">
        <f>IF(C113=C112,K112+1,1)</f>
        <v>3</v>
      </c>
      <c r="L113">
        <f>MIN(((374/K113)*I113),L114)</f>
        <v>0.19336239450000001</v>
      </c>
      <c r="M113">
        <f>-LOG10(L113)</f>
        <v>0.71362798448860432</v>
      </c>
    </row>
    <row r="114" spans="1:13" x14ac:dyDescent="0.2">
      <c r="A114" s="2" t="s">
        <v>34</v>
      </c>
      <c r="B114" s="2" t="s">
        <v>10</v>
      </c>
      <c r="C114" s="2" t="s">
        <v>11</v>
      </c>
      <c r="D114" s="2">
        <v>-0.382144233</v>
      </c>
      <c r="E114" s="2">
        <f>ABS(D114)</f>
        <v>0.382144233</v>
      </c>
      <c r="F114" s="2">
        <v>0.12179029500000001</v>
      </c>
      <c r="G114" s="2">
        <v>146</v>
      </c>
      <c r="H114" s="2">
        <v>18</v>
      </c>
      <c r="I114" s="2">
        <v>2.0680469999999999E-3</v>
      </c>
      <c r="J114" s="2">
        <v>7.0313596000000006E-2</v>
      </c>
      <c r="K114" s="2">
        <f>IF(C114=C113,K113+1,1)</f>
        <v>4</v>
      </c>
      <c r="L114" s="2">
        <f>MIN(((374/K114)*I114),L115)</f>
        <v>0.19336239450000001</v>
      </c>
      <c r="M114" s="2">
        <f>-LOG10(L114)</f>
        <v>0.71362798448860432</v>
      </c>
    </row>
    <row r="115" spans="1:13" x14ac:dyDescent="0.2">
      <c r="A115" t="s">
        <v>167</v>
      </c>
      <c r="B115" t="s">
        <v>24</v>
      </c>
      <c r="C115" t="s">
        <v>25</v>
      </c>
      <c r="D115">
        <v>-0.38066440200000001</v>
      </c>
      <c r="E115" s="7">
        <f>ABS(D115)</f>
        <v>0.38066440200000001</v>
      </c>
      <c r="F115">
        <v>0.25247514799999998</v>
      </c>
      <c r="G115">
        <v>146</v>
      </c>
      <c r="H115">
        <v>22</v>
      </c>
      <c r="I115">
        <v>0.13382967600000001</v>
      </c>
      <c r="J115">
        <v>0.55924356200000003</v>
      </c>
      <c r="K115">
        <f>IF(C115=C114,K114+1,1)</f>
        <v>1</v>
      </c>
      <c r="L115">
        <f>MIN(((374/K115)*I115),L116)</f>
        <v>1.102195952</v>
      </c>
      <c r="M115">
        <f>-LOG10(L115)</f>
        <v>-4.2258811672856895E-2</v>
      </c>
    </row>
    <row r="116" spans="1:13" x14ac:dyDescent="0.2">
      <c r="A116" t="s">
        <v>167</v>
      </c>
      <c r="B116" t="s">
        <v>10</v>
      </c>
      <c r="C116" t="s">
        <v>11</v>
      </c>
      <c r="D116">
        <v>-0.38027057600000003</v>
      </c>
      <c r="E116" s="7">
        <f>ABS(D116)</f>
        <v>0.38027057600000003</v>
      </c>
      <c r="F116">
        <v>0.27010890799999998</v>
      </c>
      <c r="G116">
        <v>146</v>
      </c>
      <c r="H116">
        <v>22</v>
      </c>
      <c r="I116">
        <v>0.16134812100000001</v>
      </c>
      <c r="J116">
        <v>0.59944281600000004</v>
      </c>
      <c r="K116">
        <f>IF(C116=C115,K115+1,1)</f>
        <v>1</v>
      </c>
      <c r="L116">
        <f>MIN(((374/K116)*I116),L117)</f>
        <v>1.102195952</v>
      </c>
      <c r="M116">
        <f>-LOG10(L116)</f>
        <v>-4.2258811672856895E-2</v>
      </c>
    </row>
    <row r="117" spans="1:13" x14ac:dyDescent="0.2">
      <c r="A117" t="s">
        <v>148</v>
      </c>
      <c r="B117" t="s">
        <v>24</v>
      </c>
      <c r="C117" t="s">
        <v>25</v>
      </c>
      <c r="D117">
        <v>-0.37990772699999997</v>
      </c>
      <c r="E117" s="7">
        <f>ABS(D117)</f>
        <v>0.37990772699999997</v>
      </c>
      <c r="F117">
        <v>0.222192049</v>
      </c>
      <c r="G117">
        <v>146</v>
      </c>
      <c r="H117">
        <v>26</v>
      </c>
      <c r="I117">
        <v>8.9468673999999998E-2</v>
      </c>
      <c r="J117">
        <v>0.46317881599999999</v>
      </c>
      <c r="K117">
        <f>IF(C117=C116,K116+1,1)</f>
        <v>1</v>
      </c>
      <c r="L117">
        <f>MIN(((374/K117)*I117),L118)</f>
        <v>1.102195952</v>
      </c>
      <c r="M117">
        <f>-LOG10(L117)</f>
        <v>-4.2258811672856895E-2</v>
      </c>
    </row>
    <row r="118" spans="1:13" x14ac:dyDescent="0.2">
      <c r="A118" t="s">
        <v>50</v>
      </c>
      <c r="B118" t="s">
        <v>10</v>
      </c>
      <c r="C118" t="s">
        <v>11</v>
      </c>
      <c r="D118">
        <v>0.37890747400000002</v>
      </c>
      <c r="E118" s="7">
        <f>ABS(D118)</f>
        <v>0.37890747400000002</v>
      </c>
      <c r="F118">
        <v>0.14163545</v>
      </c>
      <c r="G118">
        <v>146</v>
      </c>
      <c r="H118">
        <v>25</v>
      </c>
      <c r="I118">
        <v>8.3387019999999999E-3</v>
      </c>
      <c r="J118">
        <v>0.13412930000000001</v>
      </c>
      <c r="K118">
        <f>IF(C118=C117,K117+1,1)</f>
        <v>1</v>
      </c>
      <c r="L118">
        <f>MIN(((374/K118)*I118),L119)</f>
        <v>1.102195952</v>
      </c>
      <c r="M118">
        <f>-LOG10(L118)</f>
        <v>-4.2258811672856895E-2</v>
      </c>
    </row>
    <row r="119" spans="1:13" x14ac:dyDescent="0.2">
      <c r="A119" t="s">
        <v>73</v>
      </c>
      <c r="B119" t="s">
        <v>10</v>
      </c>
      <c r="C119" t="s">
        <v>11</v>
      </c>
      <c r="D119">
        <v>-0.37830058999999999</v>
      </c>
      <c r="E119" s="7">
        <f>ABS(D119)</f>
        <v>0.37830058999999999</v>
      </c>
      <c r="F119">
        <v>0.15978473300000001</v>
      </c>
      <c r="G119">
        <v>146</v>
      </c>
      <c r="H119">
        <v>35</v>
      </c>
      <c r="I119">
        <v>1.9244517999999999E-2</v>
      </c>
      <c r="J119">
        <v>0.21705313700000001</v>
      </c>
      <c r="K119">
        <f>IF(C119=C118,K118+1,1)</f>
        <v>2</v>
      </c>
      <c r="L119">
        <f>MIN(((374/K119)*I119),L120)</f>
        <v>1.102195952</v>
      </c>
      <c r="M119">
        <f>-LOG10(L119)</f>
        <v>-4.2258811672856895E-2</v>
      </c>
    </row>
    <row r="120" spans="1:13" x14ac:dyDescent="0.2">
      <c r="A120" t="s">
        <v>204</v>
      </c>
      <c r="B120" t="s">
        <v>10</v>
      </c>
      <c r="C120" t="s">
        <v>11</v>
      </c>
      <c r="D120">
        <v>0.37774828900000001</v>
      </c>
      <c r="E120" s="7">
        <f>ABS(D120)</f>
        <v>0.37774828900000001</v>
      </c>
      <c r="F120">
        <v>0.30418300700000001</v>
      </c>
      <c r="G120">
        <v>146</v>
      </c>
      <c r="H120">
        <v>83</v>
      </c>
      <c r="I120">
        <v>0.216326512</v>
      </c>
      <c r="J120">
        <v>0.69746651299999995</v>
      </c>
      <c r="K120">
        <f>IF(C120=C119,K119+1,1)</f>
        <v>3</v>
      </c>
      <c r="L120">
        <f>MIN(((374/K120)*I120),L121)</f>
        <v>1.102195952</v>
      </c>
      <c r="M120">
        <f>-LOG10(L120)</f>
        <v>-4.2258811672856895E-2</v>
      </c>
    </row>
    <row r="121" spans="1:13" x14ac:dyDescent="0.2">
      <c r="A121" t="s">
        <v>214</v>
      </c>
      <c r="B121" t="s">
        <v>24</v>
      </c>
      <c r="C121" t="s">
        <v>25</v>
      </c>
      <c r="D121">
        <v>-0.373308368</v>
      </c>
      <c r="E121" s="7">
        <f>ABS(D121)</f>
        <v>0.373308368</v>
      </c>
      <c r="F121">
        <v>0.31250180799999999</v>
      </c>
      <c r="G121">
        <v>146</v>
      </c>
      <c r="H121">
        <v>70</v>
      </c>
      <c r="I121">
        <v>0.234228829</v>
      </c>
      <c r="J121">
        <v>0.709324552</v>
      </c>
      <c r="K121">
        <f>IF(C121=C120,K120+1,1)</f>
        <v>1</v>
      </c>
      <c r="L121">
        <f>MIN(((374/K121)*I121),L122)</f>
        <v>1.102195952</v>
      </c>
      <c r="M121">
        <f>-LOG10(L121)</f>
        <v>-4.2258811672856895E-2</v>
      </c>
    </row>
    <row r="122" spans="1:13" x14ac:dyDescent="0.2">
      <c r="A122" t="s">
        <v>126</v>
      </c>
      <c r="B122" t="s">
        <v>24</v>
      </c>
      <c r="C122" t="s">
        <v>25</v>
      </c>
      <c r="D122">
        <v>-0.372023514</v>
      </c>
      <c r="E122" s="7">
        <f>ABS(D122)</f>
        <v>0.372023514</v>
      </c>
      <c r="F122">
        <v>0.199601323</v>
      </c>
      <c r="G122">
        <v>146</v>
      </c>
      <c r="H122">
        <v>53</v>
      </c>
      <c r="I122">
        <v>6.4395681999999996E-2</v>
      </c>
      <c r="J122">
        <v>0.38228547699999998</v>
      </c>
      <c r="K122">
        <f>IF(C122=C121,K121+1,1)</f>
        <v>2</v>
      </c>
      <c r="L122">
        <f>MIN(((374/K122)*I122),L123)</f>
        <v>1.102195952</v>
      </c>
      <c r="M122">
        <f>-LOG10(L122)</f>
        <v>-4.2258811672856895E-2</v>
      </c>
    </row>
    <row r="123" spans="1:13" x14ac:dyDescent="0.2">
      <c r="A123" t="s">
        <v>94</v>
      </c>
      <c r="B123" t="s">
        <v>24</v>
      </c>
      <c r="C123" t="s">
        <v>25</v>
      </c>
      <c r="D123">
        <v>-0.36955964899999999</v>
      </c>
      <c r="E123" s="7">
        <f>ABS(D123)</f>
        <v>0.36955964899999999</v>
      </c>
      <c r="F123">
        <v>0.33624595099999999</v>
      </c>
      <c r="G123">
        <v>146</v>
      </c>
      <c r="H123">
        <v>61</v>
      </c>
      <c r="I123">
        <v>0.27358213599999998</v>
      </c>
      <c r="J123">
        <v>0.74403666300000004</v>
      </c>
      <c r="K123">
        <f>IF(C123=C122,K122+1,1)</f>
        <v>3</v>
      </c>
      <c r="L123">
        <f>MIN(((374/K123)*I123),L124)</f>
        <v>1.102195952</v>
      </c>
      <c r="M123">
        <f>-LOG10(L123)</f>
        <v>-4.2258811672856895E-2</v>
      </c>
    </row>
    <row r="124" spans="1:13" x14ac:dyDescent="0.2">
      <c r="A124" s="2" t="s">
        <v>37</v>
      </c>
      <c r="B124" s="2" t="s">
        <v>10</v>
      </c>
      <c r="C124" s="2" t="s">
        <v>11</v>
      </c>
      <c r="D124" s="2">
        <v>0.36950553000000003</v>
      </c>
      <c r="E124" s="2">
        <f>ABS(D124)</f>
        <v>0.36950553000000003</v>
      </c>
      <c r="F124" s="2">
        <v>0.122143501</v>
      </c>
      <c r="G124" s="2">
        <v>146</v>
      </c>
      <c r="H124" s="2">
        <v>20</v>
      </c>
      <c r="I124" s="2">
        <v>2.9470479999999999E-3</v>
      </c>
      <c r="J124" s="2">
        <v>9.0082791999999995E-2</v>
      </c>
      <c r="K124" s="2">
        <f>IF(C124=C123,K123+1,1)</f>
        <v>1</v>
      </c>
      <c r="L124" s="2">
        <f>MIN(((374/K124)*I124),L125)</f>
        <v>1.102195952</v>
      </c>
      <c r="M124" s="2">
        <f>-LOG10(L124)</f>
        <v>-4.2258811672856895E-2</v>
      </c>
    </row>
    <row r="125" spans="1:13" x14ac:dyDescent="0.2">
      <c r="A125" t="s">
        <v>151</v>
      </c>
      <c r="B125" t="s">
        <v>10</v>
      </c>
      <c r="C125" t="s">
        <v>11</v>
      </c>
      <c r="D125">
        <v>0.36778082899999998</v>
      </c>
      <c r="E125" s="7">
        <f>ABS(D125)</f>
        <v>0.36778082899999998</v>
      </c>
      <c r="F125">
        <v>0.224270727</v>
      </c>
      <c r="G125">
        <v>146</v>
      </c>
      <c r="H125">
        <v>28</v>
      </c>
      <c r="I125">
        <v>0.10322463799999999</v>
      </c>
      <c r="J125">
        <v>0.494948903</v>
      </c>
      <c r="K125">
        <f>IF(C125=C124,K124+1,1)</f>
        <v>2</v>
      </c>
      <c r="L125">
        <f>MIN(((374/K125)*I125),L126)</f>
        <v>1.1679165410000001</v>
      </c>
      <c r="M125">
        <f>-LOG10(L125)</f>
        <v>-6.7411809319025198E-2</v>
      </c>
    </row>
    <row r="126" spans="1:13" x14ac:dyDescent="0.2">
      <c r="A126" t="s">
        <v>62</v>
      </c>
      <c r="B126" t="s">
        <v>24</v>
      </c>
      <c r="C126" t="s">
        <v>25</v>
      </c>
      <c r="D126">
        <v>-0.36773004300000001</v>
      </c>
      <c r="E126" s="7">
        <f>ABS(D126)</f>
        <v>0.36773004300000001</v>
      </c>
      <c r="F126">
        <v>0.14105616600000001</v>
      </c>
      <c r="G126">
        <v>146</v>
      </c>
      <c r="H126">
        <v>18</v>
      </c>
      <c r="I126">
        <v>1.0102819000000001E-2</v>
      </c>
      <c r="J126">
        <v>0.149952206</v>
      </c>
      <c r="K126">
        <f>IF(C126=C125,K125+1,1)</f>
        <v>1</v>
      </c>
      <c r="L126">
        <f>MIN(((374/K126)*I126),L127)</f>
        <v>1.1679165410000001</v>
      </c>
      <c r="M126">
        <f>-LOG10(L126)</f>
        <v>-6.7411809319025198E-2</v>
      </c>
    </row>
    <row r="127" spans="1:13" x14ac:dyDescent="0.2">
      <c r="A127" t="s">
        <v>175</v>
      </c>
      <c r="B127" t="s">
        <v>24</v>
      </c>
      <c r="C127" t="s">
        <v>25</v>
      </c>
      <c r="D127">
        <v>-0.36574340999999999</v>
      </c>
      <c r="E127" s="7">
        <f>ABS(D127)</f>
        <v>0.36574340999999999</v>
      </c>
      <c r="F127">
        <v>0.35895734000000001</v>
      </c>
      <c r="G127">
        <v>146</v>
      </c>
      <c r="H127">
        <v>42</v>
      </c>
      <c r="I127">
        <v>0.309968823</v>
      </c>
      <c r="J127">
        <v>0.75322784700000001</v>
      </c>
      <c r="K127">
        <f>IF(C127=C126,K126+1,1)</f>
        <v>2</v>
      </c>
      <c r="L127">
        <f>MIN(((374/K127)*I127),L128)</f>
        <v>1.1679165410000001</v>
      </c>
      <c r="M127">
        <f>-LOG10(L127)</f>
        <v>-6.7411809319025198E-2</v>
      </c>
    </row>
    <row r="128" spans="1:13" x14ac:dyDescent="0.2">
      <c r="A128" t="s">
        <v>114</v>
      </c>
      <c r="B128" t="s">
        <v>10</v>
      </c>
      <c r="C128" t="s">
        <v>11</v>
      </c>
      <c r="D128">
        <v>-0.36559730600000001</v>
      </c>
      <c r="E128" s="7">
        <f>ABS(D128)</f>
        <v>0.36559730600000001</v>
      </c>
      <c r="F128">
        <v>0.33641228899999998</v>
      </c>
      <c r="G128">
        <v>146</v>
      </c>
      <c r="H128">
        <v>93</v>
      </c>
      <c r="I128">
        <v>0.27897411100000002</v>
      </c>
      <c r="J128">
        <v>0.74902001500000004</v>
      </c>
      <c r="K128">
        <f>IF(C128=C127,K127+1,1)</f>
        <v>1</v>
      </c>
      <c r="L128">
        <f>MIN(((374/K128)*I128),L129)</f>
        <v>1.1679165410000001</v>
      </c>
      <c r="M128">
        <f>-LOG10(L128)</f>
        <v>-6.7411809319025198E-2</v>
      </c>
    </row>
    <row r="129" spans="1:13" x14ac:dyDescent="0.2">
      <c r="A129" t="s">
        <v>189</v>
      </c>
      <c r="B129" t="s">
        <v>24</v>
      </c>
      <c r="C129" t="s">
        <v>25</v>
      </c>
      <c r="D129">
        <v>0.36378702600000001</v>
      </c>
      <c r="E129" s="7">
        <f>ABS(D129)</f>
        <v>0.36378702600000001</v>
      </c>
      <c r="F129">
        <v>0.270948578</v>
      </c>
      <c r="G129">
        <v>146</v>
      </c>
      <c r="H129">
        <v>61</v>
      </c>
      <c r="I129">
        <v>0.181515238</v>
      </c>
      <c r="J129">
        <v>0.64955373599999999</v>
      </c>
      <c r="K129">
        <f>IF(C129=C128,K128+1,1)</f>
        <v>1</v>
      </c>
      <c r="L129">
        <f>MIN(((374/K129)*I129),L130)</f>
        <v>1.1679165410000001</v>
      </c>
      <c r="M129">
        <f>-LOG10(L129)</f>
        <v>-6.7411809319025198E-2</v>
      </c>
    </row>
    <row r="130" spans="1:13" x14ac:dyDescent="0.2">
      <c r="A130" t="s">
        <v>200</v>
      </c>
      <c r="B130" t="s">
        <v>24</v>
      </c>
      <c r="C130" t="s">
        <v>25</v>
      </c>
      <c r="D130">
        <v>-0.36285240499999999</v>
      </c>
      <c r="E130" s="7">
        <f>ABS(D130)</f>
        <v>0.36285240499999999</v>
      </c>
      <c r="F130">
        <v>0.300389658</v>
      </c>
      <c r="G130">
        <v>146</v>
      </c>
      <c r="H130">
        <v>36</v>
      </c>
      <c r="I130">
        <v>0.229064614</v>
      </c>
      <c r="J130">
        <v>0.70642057999999996</v>
      </c>
      <c r="K130">
        <f>IF(C130=C129,K129+1,1)</f>
        <v>2</v>
      </c>
      <c r="L130">
        <f>MIN(((374/K130)*I130),L131)</f>
        <v>1.1679165410000001</v>
      </c>
      <c r="M130">
        <f>-LOG10(L130)</f>
        <v>-6.7411809319025198E-2</v>
      </c>
    </row>
    <row r="131" spans="1:13" x14ac:dyDescent="0.2">
      <c r="A131" t="s">
        <v>195</v>
      </c>
      <c r="B131" t="s">
        <v>10</v>
      </c>
      <c r="C131" t="s">
        <v>11</v>
      </c>
      <c r="D131">
        <v>-0.36156097199999998</v>
      </c>
      <c r="E131" s="7">
        <f>ABS(D131)</f>
        <v>0.36156097199999998</v>
      </c>
      <c r="F131">
        <v>0.28247733400000002</v>
      </c>
      <c r="G131">
        <v>146</v>
      </c>
      <c r="H131">
        <v>90</v>
      </c>
      <c r="I131">
        <v>0.202630164</v>
      </c>
      <c r="J131">
        <v>0.68582516999999998</v>
      </c>
      <c r="K131">
        <f>IF(C131=C130,K130+1,1)</f>
        <v>1</v>
      </c>
      <c r="L131">
        <f>MIN(((374/K131)*I131),L132)</f>
        <v>1.1679165410000001</v>
      </c>
      <c r="M131">
        <f>-LOG10(L131)</f>
        <v>-6.7411809319025198E-2</v>
      </c>
    </row>
    <row r="132" spans="1:13" x14ac:dyDescent="0.2">
      <c r="A132" t="s">
        <v>71</v>
      </c>
      <c r="B132" t="s">
        <v>10</v>
      </c>
      <c r="C132" t="s">
        <v>11</v>
      </c>
      <c r="D132">
        <v>-0.35921268499999998</v>
      </c>
      <c r="E132" s="7">
        <f>ABS(D132)</f>
        <v>0.35921268499999998</v>
      </c>
      <c r="F132">
        <v>0.14778389</v>
      </c>
      <c r="G132">
        <v>146</v>
      </c>
      <c r="H132">
        <v>34</v>
      </c>
      <c r="I132">
        <v>1.6309536999999999E-2</v>
      </c>
      <c r="J132">
        <v>0.19999235000000001</v>
      </c>
      <c r="K132">
        <f>IF(C132=C131,K131+1,1)</f>
        <v>2</v>
      </c>
      <c r="L132">
        <f>MIN(((374/K132)*I132),L133)</f>
        <v>1.1679165410000001</v>
      </c>
      <c r="M132">
        <f>-LOG10(L132)</f>
        <v>-6.7411809319025198E-2</v>
      </c>
    </row>
    <row r="133" spans="1:13" x14ac:dyDescent="0.2">
      <c r="A133" t="s">
        <v>55</v>
      </c>
      <c r="B133" t="s">
        <v>10</v>
      </c>
      <c r="C133" t="s">
        <v>11</v>
      </c>
      <c r="D133">
        <v>-0.35410550499999999</v>
      </c>
      <c r="E133" s="7">
        <f>ABS(D133)</f>
        <v>0.35410550499999999</v>
      </c>
      <c r="F133">
        <v>0.28040186099999997</v>
      </c>
      <c r="G133">
        <v>146</v>
      </c>
      <c r="H133">
        <v>77</v>
      </c>
      <c r="I133">
        <v>0.208698407</v>
      </c>
      <c r="J133">
        <v>0.69362273799999996</v>
      </c>
      <c r="K133">
        <f>IF(C133=C132,K132+1,1)</f>
        <v>3</v>
      </c>
      <c r="L133">
        <f>MIN(((374/K133)*I133),L134)</f>
        <v>1.1679165410000001</v>
      </c>
      <c r="M133">
        <f>-LOG10(L133)</f>
        <v>-6.7411809319025198E-2</v>
      </c>
    </row>
    <row r="134" spans="1:13" x14ac:dyDescent="0.2">
      <c r="A134" t="s">
        <v>107</v>
      </c>
      <c r="B134" t="s">
        <v>10</v>
      </c>
      <c r="C134" t="s">
        <v>11</v>
      </c>
      <c r="D134">
        <v>-0.35379626800000002</v>
      </c>
      <c r="E134" s="7">
        <f>ABS(D134)</f>
        <v>0.35379626800000002</v>
      </c>
      <c r="F134">
        <v>0.17586046699999999</v>
      </c>
      <c r="G134">
        <v>146</v>
      </c>
      <c r="H134">
        <v>39</v>
      </c>
      <c r="I134">
        <v>4.6119417000000003E-2</v>
      </c>
      <c r="J134">
        <v>0.338918842</v>
      </c>
      <c r="K134">
        <f>IF(C134=C133,K133+1,1)</f>
        <v>4</v>
      </c>
      <c r="L134">
        <f>MIN(((374/K134)*I134),L135)</f>
        <v>1.1679165410000001</v>
      </c>
      <c r="M134">
        <f>-LOG10(L134)</f>
        <v>-6.7411809319025198E-2</v>
      </c>
    </row>
    <row r="135" spans="1:13" x14ac:dyDescent="0.2">
      <c r="A135" t="s">
        <v>60</v>
      </c>
      <c r="B135" t="s">
        <v>10</v>
      </c>
      <c r="C135" t="s">
        <v>11</v>
      </c>
      <c r="D135">
        <v>0.34906972400000003</v>
      </c>
      <c r="E135" s="7">
        <f>ABS(D135)</f>
        <v>0.34906972400000003</v>
      </c>
      <c r="F135">
        <v>0.25890691799999999</v>
      </c>
      <c r="G135">
        <v>146</v>
      </c>
      <c r="H135">
        <v>27</v>
      </c>
      <c r="I135">
        <v>0.17971155799999999</v>
      </c>
      <c r="J135">
        <v>0.64817133800000004</v>
      </c>
      <c r="K135">
        <f>IF(C135=C134,K134+1,1)</f>
        <v>5</v>
      </c>
      <c r="L135">
        <f>MIN(((374/K135)*I135),L136)</f>
        <v>1.1679165410000001</v>
      </c>
      <c r="M135">
        <f>-LOG10(L135)</f>
        <v>-6.7411809319025198E-2</v>
      </c>
    </row>
    <row r="136" spans="1:13" x14ac:dyDescent="0.2">
      <c r="A136" t="s">
        <v>124</v>
      </c>
      <c r="B136" t="s">
        <v>24</v>
      </c>
      <c r="C136" t="s">
        <v>25</v>
      </c>
      <c r="D136">
        <v>0.34591088399999997</v>
      </c>
      <c r="E136" s="7">
        <f>ABS(D136)</f>
        <v>0.34591088399999997</v>
      </c>
      <c r="F136">
        <v>0.184385349</v>
      </c>
      <c r="G136">
        <v>146</v>
      </c>
      <c r="H136">
        <v>61</v>
      </c>
      <c r="I136">
        <v>6.2690591000000004E-2</v>
      </c>
      <c r="J136">
        <v>0.37816582100000001</v>
      </c>
      <c r="K136">
        <f>IF(C136=C135,K135+1,1)</f>
        <v>1</v>
      </c>
      <c r="L136">
        <f>MIN(((374/K136)*I136),L137)</f>
        <v>1.1679165410000001</v>
      </c>
      <c r="M136">
        <f>-LOG10(L136)</f>
        <v>-6.7411809319025198E-2</v>
      </c>
    </row>
    <row r="137" spans="1:13" x14ac:dyDescent="0.2">
      <c r="A137" t="s">
        <v>155</v>
      </c>
      <c r="B137" t="s">
        <v>24</v>
      </c>
      <c r="C137" t="s">
        <v>25</v>
      </c>
      <c r="D137">
        <v>0.34289008199999998</v>
      </c>
      <c r="E137" s="7">
        <f>ABS(D137)</f>
        <v>0.34289008199999998</v>
      </c>
      <c r="F137">
        <v>0.21341032900000001</v>
      </c>
      <c r="G137">
        <v>146</v>
      </c>
      <c r="H137">
        <v>50</v>
      </c>
      <c r="I137">
        <v>0.110322278</v>
      </c>
      <c r="J137">
        <v>0.50605668299999995</v>
      </c>
      <c r="K137">
        <f>IF(C137=C136,K136+1,1)</f>
        <v>2</v>
      </c>
      <c r="L137">
        <f>MIN(((374/K137)*I137),L138)</f>
        <v>1.1679165410000001</v>
      </c>
      <c r="M137">
        <f>-LOG10(L137)</f>
        <v>-6.7411809319025198E-2</v>
      </c>
    </row>
    <row r="138" spans="1:13" x14ac:dyDescent="0.2">
      <c r="A138" t="s">
        <v>198</v>
      </c>
      <c r="B138" t="s">
        <v>10</v>
      </c>
      <c r="C138" t="s">
        <v>11</v>
      </c>
      <c r="D138">
        <v>-0.34246202199999998</v>
      </c>
      <c r="E138" s="7">
        <f>ABS(D138)</f>
        <v>0.34246202199999998</v>
      </c>
      <c r="F138">
        <v>0.27269538900000001</v>
      </c>
      <c r="G138">
        <v>146</v>
      </c>
      <c r="H138">
        <v>50</v>
      </c>
      <c r="I138">
        <v>0.211221671</v>
      </c>
      <c r="J138">
        <v>0.69362273799999996</v>
      </c>
      <c r="K138">
        <f>IF(C138=C137,K137+1,1)</f>
        <v>1</v>
      </c>
      <c r="L138">
        <f>MIN(((374/K138)*I138),L139)</f>
        <v>1.1679165410000001</v>
      </c>
      <c r="M138">
        <f>-LOG10(L138)</f>
        <v>-6.7411809319025198E-2</v>
      </c>
    </row>
    <row r="139" spans="1:13" x14ac:dyDescent="0.2">
      <c r="A139" t="s">
        <v>101</v>
      </c>
      <c r="B139" t="s">
        <v>24</v>
      </c>
      <c r="C139" t="s">
        <v>25</v>
      </c>
      <c r="D139">
        <v>0.34204770800000001</v>
      </c>
      <c r="E139" s="7">
        <f>ABS(D139)</f>
        <v>0.34204770800000001</v>
      </c>
      <c r="F139">
        <v>0.16212525999999999</v>
      </c>
      <c r="G139">
        <v>146</v>
      </c>
      <c r="H139">
        <v>25</v>
      </c>
      <c r="I139">
        <v>3.6619581999999998E-2</v>
      </c>
      <c r="J139">
        <v>0.285327573</v>
      </c>
      <c r="K139">
        <f>IF(C139=C138,K138+1,1)</f>
        <v>1</v>
      </c>
      <c r="L139">
        <f>MIN(((374/K139)*I139),L140)</f>
        <v>1.1679165410000001</v>
      </c>
      <c r="M139">
        <f>-LOG10(L139)</f>
        <v>-6.7411809319025198E-2</v>
      </c>
    </row>
    <row r="140" spans="1:13" x14ac:dyDescent="0.2">
      <c r="A140" t="s">
        <v>201</v>
      </c>
      <c r="B140" t="s">
        <v>10</v>
      </c>
      <c r="C140" t="s">
        <v>11</v>
      </c>
      <c r="D140">
        <v>-0.34198990499999998</v>
      </c>
      <c r="E140" s="7">
        <f>ABS(D140)</f>
        <v>0.34198990499999998</v>
      </c>
      <c r="F140">
        <v>0.27141126599999998</v>
      </c>
      <c r="G140">
        <v>146</v>
      </c>
      <c r="H140">
        <v>51</v>
      </c>
      <c r="I140">
        <v>0.209706217</v>
      </c>
      <c r="J140">
        <v>0.69362273799999996</v>
      </c>
      <c r="K140">
        <f>IF(C140=C139,K139+1,1)</f>
        <v>1</v>
      </c>
      <c r="L140">
        <f>MIN(((374/K140)*I140),L141)</f>
        <v>1.1679165410000001</v>
      </c>
      <c r="M140">
        <f>-LOG10(L140)</f>
        <v>-6.7411809319025198E-2</v>
      </c>
    </row>
    <row r="141" spans="1:13" x14ac:dyDescent="0.2">
      <c r="A141" t="s">
        <v>246</v>
      </c>
      <c r="B141" t="s">
        <v>24</v>
      </c>
      <c r="C141" t="s">
        <v>25</v>
      </c>
      <c r="D141">
        <v>0.33973519000000002</v>
      </c>
      <c r="E141" s="7">
        <f>ABS(D141)</f>
        <v>0.33973519000000002</v>
      </c>
      <c r="F141">
        <v>0.31855321599999997</v>
      </c>
      <c r="G141">
        <v>146</v>
      </c>
      <c r="H141">
        <v>114</v>
      </c>
      <c r="I141">
        <v>0.28799752699999998</v>
      </c>
      <c r="J141">
        <v>0.74902001500000004</v>
      </c>
      <c r="K141">
        <f>IF(C141=C140,K140+1,1)</f>
        <v>1</v>
      </c>
      <c r="L141">
        <f>MIN(((374/K141)*I141),L142)</f>
        <v>1.1679165410000001</v>
      </c>
      <c r="M141">
        <f>-LOG10(L141)</f>
        <v>-6.7411809319025198E-2</v>
      </c>
    </row>
    <row r="142" spans="1:13" x14ac:dyDescent="0.2">
      <c r="A142" t="s">
        <v>111</v>
      </c>
      <c r="B142" t="s">
        <v>24</v>
      </c>
      <c r="C142" t="s">
        <v>25</v>
      </c>
      <c r="D142">
        <v>-0.33954368000000001</v>
      </c>
      <c r="E142" s="7">
        <f>ABS(D142)</f>
        <v>0.33954368000000001</v>
      </c>
      <c r="F142">
        <v>0.277093961</v>
      </c>
      <c r="G142">
        <v>146</v>
      </c>
      <c r="H142">
        <v>125</v>
      </c>
      <c r="I142">
        <v>0.22244882199999999</v>
      </c>
      <c r="J142">
        <v>0.7012912</v>
      </c>
      <c r="K142">
        <f>IF(C142=C141,K141+1,1)</f>
        <v>2</v>
      </c>
      <c r="L142">
        <f>MIN(((374/K142)*I142),L143)</f>
        <v>1.1679165410000001</v>
      </c>
      <c r="M142">
        <f>-LOG10(L142)</f>
        <v>-6.7411809319025198E-2</v>
      </c>
    </row>
    <row r="143" spans="1:13" x14ac:dyDescent="0.2">
      <c r="A143" t="s">
        <v>90</v>
      </c>
      <c r="B143" t="s">
        <v>10</v>
      </c>
      <c r="C143" t="s">
        <v>11</v>
      </c>
      <c r="D143">
        <v>-0.33429422800000003</v>
      </c>
      <c r="E143" s="7">
        <f>ABS(D143)</f>
        <v>0.33429422800000003</v>
      </c>
      <c r="F143">
        <v>0.15047591199999999</v>
      </c>
      <c r="G143">
        <v>146</v>
      </c>
      <c r="H143">
        <v>20</v>
      </c>
      <c r="I143">
        <v>2.7883279E-2</v>
      </c>
      <c r="J143">
        <v>0.24829396000000001</v>
      </c>
      <c r="K143">
        <f>IF(C143=C142,K142+1,1)</f>
        <v>1</v>
      </c>
      <c r="L143">
        <f>MIN(((374/K143)*I143),L144)</f>
        <v>1.1679165410000001</v>
      </c>
      <c r="M143">
        <f>-LOG10(L143)</f>
        <v>-6.7411809319025198E-2</v>
      </c>
    </row>
    <row r="144" spans="1:13" x14ac:dyDescent="0.2">
      <c r="A144" t="s">
        <v>96</v>
      </c>
      <c r="B144" t="s">
        <v>10</v>
      </c>
      <c r="C144" t="s">
        <v>11</v>
      </c>
      <c r="D144">
        <v>-0.33398498700000001</v>
      </c>
      <c r="E144" s="7">
        <f>ABS(D144)</f>
        <v>0.33398498700000001</v>
      </c>
      <c r="F144">
        <v>0.153940837</v>
      </c>
      <c r="G144">
        <v>146</v>
      </c>
      <c r="H144">
        <v>56</v>
      </c>
      <c r="I144">
        <v>3.1691810000000001E-2</v>
      </c>
      <c r="J144">
        <v>0.27355598599999997</v>
      </c>
      <c r="K144">
        <f>IF(C144=C143,K143+1,1)</f>
        <v>2</v>
      </c>
      <c r="L144">
        <f>MIN(((374/K144)*I144),L145)</f>
        <v>1.1679165410000001</v>
      </c>
      <c r="M144">
        <f>-LOG10(L144)</f>
        <v>-6.7411809319025198E-2</v>
      </c>
    </row>
    <row r="145" spans="1:13" x14ac:dyDescent="0.2">
      <c r="A145" t="s">
        <v>154</v>
      </c>
      <c r="B145" t="s">
        <v>10</v>
      </c>
      <c r="C145" t="s">
        <v>11</v>
      </c>
      <c r="D145">
        <v>0.333566274</v>
      </c>
      <c r="E145" s="7">
        <f>ABS(D145)</f>
        <v>0.333566274</v>
      </c>
      <c r="F145">
        <v>0.20702335699999999</v>
      </c>
      <c r="G145">
        <v>146</v>
      </c>
      <c r="H145">
        <v>21</v>
      </c>
      <c r="I145">
        <v>0.10933040400000001</v>
      </c>
      <c r="J145">
        <v>0.50480951900000004</v>
      </c>
      <c r="K145">
        <f>IF(C145=C144,K144+1,1)</f>
        <v>3</v>
      </c>
      <c r="L145">
        <f>MIN(((374/K145)*I145),L146)</f>
        <v>1.1679165410000001</v>
      </c>
      <c r="M145">
        <f>-LOG10(L145)</f>
        <v>-6.7411809319025198E-2</v>
      </c>
    </row>
    <row r="146" spans="1:13" x14ac:dyDescent="0.2">
      <c r="A146" t="s">
        <v>79</v>
      </c>
      <c r="B146" t="s">
        <v>24</v>
      </c>
      <c r="C146" t="s">
        <v>25</v>
      </c>
      <c r="D146">
        <v>-0.33232525800000001</v>
      </c>
      <c r="E146" s="7">
        <f>ABS(D146)</f>
        <v>0.33232525800000001</v>
      </c>
      <c r="F146">
        <v>0.15562878899999999</v>
      </c>
      <c r="G146">
        <v>146</v>
      </c>
      <c r="H146">
        <v>31</v>
      </c>
      <c r="I146">
        <v>3.4434573000000003E-2</v>
      </c>
      <c r="J146">
        <v>0.284540601</v>
      </c>
      <c r="K146">
        <f>IF(C146=C145,K145+1,1)</f>
        <v>1</v>
      </c>
      <c r="L146">
        <f>MIN(((374/K146)*I146),L147)</f>
        <v>1.1679165410000001</v>
      </c>
      <c r="M146">
        <f>-LOG10(L146)</f>
        <v>-6.7411809319025198E-2</v>
      </c>
    </row>
    <row r="147" spans="1:13" x14ac:dyDescent="0.2">
      <c r="A147" t="s">
        <v>119</v>
      </c>
      <c r="B147" t="s">
        <v>24</v>
      </c>
      <c r="C147" t="s">
        <v>25</v>
      </c>
      <c r="D147">
        <v>-0.33127298100000002</v>
      </c>
      <c r="E147" s="7">
        <f>ABS(D147)</f>
        <v>0.33127298100000002</v>
      </c>
      <c r="F147">
        <v>0.30867134499999999</v>
      </c>
      <c r="G147">
        <v>146</v>
      </c>
      <c r="H147">
        <v>105</v>
      </c>
      <c r="I147">
        <v>0.28497909799999999</v>
      </c>
      <c r="J147">
        <v>0.74902001500000004</v>
      </c>
      <c r="K147">
        <f>IF(C147=C146,K146+1,1)</f>
        <v>2</v>
      </c>
      <c r="L147">
        <f>MIN(((374/K147)*I147),L148)</f>
        <v>1.1679165410000001</v>
      </c>
      <c r="M147">
        <f>-LOG10(L147)</f>
        <v>-6.7411809319025198E-2</v>
      </c>
    </row>
    <row r="148" spans="1:13" x14ac:dyDescent="0.2">
      <c r="A148" t="s">
        <v>110</v>
      </c>
      <c r="B148" t="s">
        <v>24</v>
      </c>
      <c r="C148" t="s">
        <v>25</v>
      </c>
      <c r="D148">
        <v>0.32347883900000002</v>
      </c>
      <c r="E148" s="7">
        <f>ABS(D148)</f>
        <v>0.32347883900000002</v>
      </c>
      <c r="F148">
        <v>0.16347500500000001</v>
      </c>
      <c r="G148">
        <v>146</v>
      </c>
      <c r="H148">
        <v>85</v>
      </c>
      <c r="I148">
        <v>4.9763289000000002E-2</v>
      </c>
      <c r="J148">
        <v>0.34465685200000001</v>
      </c>
      <c r="K148">
        <f>IF(C148=C147,K147+1,1)</f>
        <v>3</v>
      </c>
      <c r="L148">
        <f>MIN(((374/K148)*I148),L149)</f>
        <v>1.1679165410000001</v>
      </c>
      <c r="M148">
        <f>-LOG10(L148)</f>
        <v>-6.7411809319025198E-2</v>
      </c>
    </row>
    <row r="149" spans="1:13" x14ac:dyDescent="0.2">
      <c r="A149" t="s">
        <v>31</v>
      </c>
      <c r="B149" t="s">
        <v>24</v>
      </c>
      <c r="C149" t="s">
        <v>25</v>
      </c>
      <c r="D149">
        <v>-0.32130690000000001</v>
      </c>
      <c r="E149" s="7">
        <f>ABS(D149)</f>
        <v>0.32130690000000001</v>
      </c>
      <c r="F149">
        <v>0.257324</v>
      </c>
      <c r="G149">
        <v>146</v>
      </c>
      <c r="H149">
        <v>80</v>
      </c>
      <c r="I149">
        <v>0.213834464</v>
      </c>
      <c r="J149">
        <v>0.69542686399999998</v>
      </c>
      <c r="K149">
        <f>IF(C149=C148,K148+1,1)</f>
        <v>4</v>
      </c>
      <c r="L149">
        <f>MIN(((374/K149)*I149),L150)</f>
        <v>1.1679165410000001</v>
      </c>
      <c r="M149">
        <f>-LOG10(L149)</f>
        <v>-6.7411809319025198E-2</v>
      </c>
    </row>
    <row r="150" spans="1:13" x14ac:dyDescent="0.2">
      <c r="A150" t="s">
        <v>206</v>
      </c>
      <c r="B150" t="s">
        <v>24</v>
      </c>
      <c r="C150" t="s">
        <v>25</v>
      </c>
      <c r="D150">
        <v>-0.31822692200000002</v>
      </c>
      <c r="E150" s="7">
        <f>ABS(D150)</f>
        <v>0.31822692200000002</v>
      </c>
      <c r="F150">
        <v>0.25844314400000001</v>
      </c>
      <c r="G150">
        <v>146</v>
      </c>
      <c r="H150">
        <v>41</v>
      </c>
      <c r="I150">
        <v>0.22022337</v>
      </c>
      <c r="J150">
        <v>0.70096630199999999</v>
      </c>
      <c r="K150">
        <f>IF(C150=C149,K149+1,1)</f>
        <v>5</v>
      </c>
      <c r="L150">
        <f>MIN(((374/K150)*I150),L151)</f>
        <v>1.1679165410000001</v>
      </c>
      <c r="M150">
        <f>-LOG10(L150)</f>
        <v>-6.7411809319025198E-2</v>
      </c>
    </row>
    <row r="151" spans="1:13" x14ac:dyDescent="0.2">
      <c r="A151" t="s">
        <v>278</v>
      </c>
      <c r="B151" t="s">
        <v>24</v>
      </c>
      <c r="C151" t="s">
        <v>25</v>
      </c>
      <c r="D151">
        <v>-0.31766409499999998</v>
      </c>
      <c r="E151" s="7">
        <f>ABS(D151)</f>
        <v>0.31766409499999998</v>
      </c>
      <c r="F151">
        <v>0.35700612500000001</v>
      </c>
      <c r="G151">
        <v>146</v>
      </c>
      <c r="H151">
        <v>113</v>
      </c>
      <c r="I151">
        <v>0.37506769600000001</v>
      </c>
      <c r="J151">
        <v>0.79251592199999998</v>
      </c>
      <c r="K151">
        <f>IF(C151=C150,K150+1,1)</f>
        <v>6</v>
      </c>
      <c r="L151">
        <f>MIN(((374/K151)*I151),L152)</f>
        <v>1.1679165410000001</v>
      </c>
      <c r="M151">
        <f>-LOG10(L151)</f>
        <v>-6.7411809319025198E-2</v>
      </c>
    </row>
    <row r="152" spans="1:13" x14ac:dyDescent="0.2">
      <c r="A152" t="s">
        <v>163</v>
      </c>
      <c r="B152" t="s">
        <v>10</v>
      </c>
      <c r="C152" t="s">
        <v>11</v>
      </c>
      <c r="D152">
        <v>-0.31618646299999997</v>
      </c>
      <c r="E152" s="7">
        <f>ABS(D152)</f>
        <v>0.31618646299999997</v>
      </c>
      <c r="F152">
        <v>0.20511813800000001</v>
      </c>
      <c r="G152">
        <v>146</v>
      </c>
      <c r="H152">
        <v>42</v>
      </c>
      <c r="I152">
        <v>0.125408875</v>
      </c>
      <c r="J152">
        <v>0.53911401199999998</v>
      </c>
      <c r="K152">
        <f>IF(C152=C151,K151+1,1)</f>
        <v>1</v>
      </c>
      <c r="L152">
        <f>MIN(((374/K152)*I152),L153)</f>
        <v>1.1679165410000001</v>
      </c>
      <c r="M152">
        <f>-LOG10(L152)</f>
        <v>-6.7411809319025198E-2</v>
      </c>
    </row>
    <row r="153" spans="1:13" x14ac:dyDescent="0.2">
      <c r="A153" t="s">
        <v>186</v>
      </c>
      <c r="B153" t="s">
        <v>10</v>
      </c>
      <c r="C153" t="s">
        <v>11</v>
      </c>
      <c r="D153">
        <v>-0.31615334499999997</v>
      </c>
      <c r="E153" s="7">
        <f>ABS(D153)</f>
        <v>0.31615334499999997</v>
      </c>
      <c r="F153">
        <v>0.22961645999999999</v>
      </c>
      <c r="G153">
        <v>146</v>
      </c>
      <c r="H153">
        <v>26</v>
      </c>
      <c r="I153">
        <v>0.17070237799999999</v>
      </c>
      <c r="J153">
        <v>0.62152594699999997</v>
      </c>
      <c r="K153">
        <f>IF(C153=C152,K152+1,1)</f>
        <v>2</v>
      </c>
      <c r="L153">
        <f>MIN(((374/K153)*I153),L154)</f>
        <v>1.1679165410000001</v>
      </c>
      <c r="M153">
        <f>-LOG10(L153)</f>
        <v>-6.7411809319025198E-2</v>
      </c>
    </row>
    <row r="154" spans="1:13" x14ac:dyDescent="0.2">
      <c r="A154" t="s">
        <v>81</v>
      </c>
      <c r="B154" t="s">
        <v>24</v>
      </c>
      <c r="C154" t="s">
        <v>25</v>
      </c>
      <c r="D154">
        <v>0.31564832799999998</v>
      </c>
      <c r="E154" s="7">
        <f>ABS(D154)</f>
        <v>0.31564832799999998</v>
      </c>
      <c r="F154">
        <v>0.13707766900000001</v>
      </c>
      <c r="G154">
        <v>146</v>
      </c>
      <c r="H154">
        <v>15</v>
      </c>
      <c r="I154">
        <v>2.2738741E-2</v>
      </c>
      <c r="J154">
        <v>0.23955744100000001</v>
      </c>
      <c r="K154">
        <f>IF(C154=C153,K153+1,1)</f>
        <v>1</v>
      </c>
      <c r="L154">
        <f>MIN(((374/K154)*I154),L155)</f>
        <v>1.1679165410000001</v>
      </c>
      <c r="M154">
        <f>-LOG10(L154)</f>
        <v>-6.7411809319025198E-2</v>
      </c>
    </row>
    <row r="155" spans="1:13" x14ac:dyDescent="0.2">
      <c r="A155" t="s">
        <v>123</v>
      </c>
      <c r="B155" t="s">
        <v>24</v>
      </c>
      <c r="C155" t="s">
        <v>25</v>
      </c>
      <c r="D155">
        <v>-0.31558750200000002</v>
      </c>
      <c r="E155" s="7">
        <f>ABS(D155)</f>
        <v>0.31558750200000002</v>
      </c>
      <c r="F155">
        <v>0.16782243299999999</v>
      </c>
      <c r="G155">
        <v>146</v>
      </c>
      <c r="H155">
        <v>17</v>
      </c>
      <c r="I155">
        <v>6.2075751999999998E-2</v>
      </c>
      <c r="J155">
        <v>0.37750131799999997</v>
      </c>
      <c r="K155">
        <f>IF(C155=C154,K154+1,1)</f>
        <v>2</v>
      </c>
      <c r="L155">
        <f>MIN(((374/K155)*I155),L156)</f>
        <v>1.1679165410000001</v>
      </c>
      <c r="M155">
        <f>-LOG10(L155)</f>
        <v>-6.7411809319025198E-2</v>
      </c>
    </row>
    <row r="156" spans="1:13" x14ac:dyDescent="0.2">
      <c r="A156" t="s">
        <v>99</v>
      </c>
      <c r="B156" t="s">
        <v>10</v>
      </c>
      <c r="C156" t="s">
        <v>11</v>
      </c>
      <c r="D156">
        <v>-0.312536284</v>
      </c>
      <c r="E156" s="7">
        <f>ABS(D156)</f>
        <v>0.312536284</v>
      </c>
      <c r="F156">
        <v>0.147166664</v>
      </c>
      <c r="G156">
        <v>146</v>
      </c>
      <c r="H156">
        <v>15</v>
      </c>
      <c r="I156">
        <v>3.5417398000000003E-2</v>
      </c>
      <c r="J156">
        <v>0.285327573</v>
      </c>
      <c r="K156">
        <f>IF(C156=C155,K155+1,1)</f>
        <v>1</v>
      </c>
      <c r="L156">
        <f>MIN(((374/K156)*I156),L157)</f>
        <v>1.1679165410000001</v>
      </c>
      <c r="M156">
        <f>-LOG10(L156)</f>
        <v>-6.7411809319025198E-2</v>
      </c>
    </row>
    <row r="157" spans="1:13" x14ac:dyDescent="0.2">
      <c r="A157" t="s">
        <v>177</v>
      </c>
      <c r="B157" t="s">
        <v>10</v>
      </c>
      <c r="C157" t="s">
        <v>11</v>
      </c>
      <c r="D157">
        <v>-0.31173848900000001</v>
      </c>
      <c r="E157" s="7">
        <f>ABS(D157)</f>
        <v>0.31173848900000001</v>
      </c>
      <c r="F157">
        <v>0.21564381799999999</v>
      </c>
      <c r="G157">
        <v>146</v>
      </c>
      <c r="H157">
        <v>49</v>
      </c>
      <c r="I157">
        <v>0.15047250300000001</v>
      </c>
      <c r="J157">
        <v>0.58623310900000003</v>
      </c>
      <c r="K157">
        <f>IF(C157=C156,K156+1,1)</f>
        <v>2</v>
      </c>
      <c r="L157">
        <f>MIN(((374/K157)*I157),L158)</f>
        <v>1.1679165410000001</v>
      </c>
      <c r="M157">
        <f>-LOG10(L157)</f>
        <v>-6.7411809319025198E-2</v>
      </c>
    </row>
    <row r="158" spans="1:13" x14ac:dyDescent="0.2">
      <c r="A158" t="s">
        <v>19</v>
      </c>
      <c r="B158" t="s">
        <v>24</v>
      </c>
      <c r="C158" t="s">
        <v>25</v>
      </c>
      <c r="D158">
        <v>0.31121797800000001</v>
      </c>
      <c r="E158" s="7">
        <f>ABS(D158)</f>
        <v>0.31121797800000001</v>
      </c>
      <c r="F158">
        <v>0.21632295700000001</v>
      </c>
      <c r="G158">
        <v>146</v>
      </c>
      <c r="H158">
        <v>111</v>
      </c>
      <c r="I158">
        <v>0.152428329</v>
      </c>
      <c r="J158">
        <v>0.58771335099999999</v>
      </c>
      <c r="K158">
        <f>IF(C158=C157,K157+1,1)</f>
        <v>1</v>
      </c>
      <c r="L158">
        <f>MIN(((374/K158)*I158),L159)</f>
        <v>1.1679165410000001</v>
      </c>
      <c r="M158">
        <f>-LOG10(L158)</f>
        <v>-6.7411809319025198E-2</v>
      </c>
    </row>
    <row r="159" spans="1:13" x14ac:dyDescent="0.2">
      <c r="A159" t="s">
        <v>131</v>
      </c>
      <c r="B159" t="s">
        <v>10</v>
      </c>
      <c r="C159" t="s">
        <v>11</v>
      </c>
      <c r="D159">
        <v>0.30969418100000001</v>
      </c>
      <c r="E159" s="7">
        <f>ABS(D159)</f>
        <v>0.30969418100000001</v>
      </c>
      <c r="F159">
        <v>0.17210007399999999</v>
      </c>
      <c r="G159">
        <v>146</v>
      </c>
      <c r="H159">
        <v>42</v>
      </c>
      <c r="I159">
        <v>7.4048017999999993E-2</v>
      </c>
      <c r="J159">
        <v>0.42280853000000002</v>
      </c>
      <c r="K159">
        <f>IF(C159=C158,K158+1,1)</f>
        <v>1</v>
      </c>
      <c r="L159">
        <f>MIN(((374/K159)*I159),L160)</f>
        <v>1.1679165410000001</v>
      </c>
      <c r="M159">
        <f>-LOG10(L159)</f>
        <v>-6.7411809319025198E-2</v>
      </c>
    </row>
    <row r="160" spans="1:13" x14ac:dyDescent="0.2">
      <c r="A160" t="s">
        <v>216</v>
      </c>
      <c r="B160" t="s">
        <v>10</v>
      </c>
      <c r="C160" t="s">
        <v>11</v>
      </c>
      <c r="D160">
        <v>-0.30849027899999998</v>
      </c>
      <c r="E160" s="7">
        <f>ABS(D160)</f>
        <v>0.30849027899999998</v>
      </c>
      <c r="F160">
        <v>0.261860184</v>
      </c>
      <c r="G160">
        <v>146</v>
      </c>
      <c r="H160">
        <v>69</v>
      </c>
      <c r="I160">
        <v>0.240724469</v>
      </c>
      <c r="J160">
        <v>0.71505164399999999</v>
      </c>
      <c r="K160">
        <f>IF(C160=C159,K159+1,1)</f>
        <v>2</v>
      </c>
      <c r="L160">
        <f>MIN(((374/K160)*I160),L161)</f>
        <v>1.1679165410000001</v>
      </c>
      <c r="M160">
        <f>-LOG10(L160)</f>
        <v>-6.7411809319025198E-2</v>
      </c>
    </row>
    <row r="161" spans="1:13" x14ac:dyDescent="0.2">
      <c r="A161" t="s">
        <v>251</v>
      </c>
      <c r="B161" t="s">
        <v>10</v>
      </c>
      <c r="C161" t="s">
        <v>11</v>
      </c>
      <c r="D161">
        <v>-0.307521408</v>
      </c>
      <c r="E161" s="7">
        <f>ABS(D161)</f>
        <v>0.307521408</v>
      </c>
      <c r="F161">
        <v>0.29799187500000002</v>
      </c>
      <c r="G161">
        <v>146</v>
      </c>
      <c r="H161">
        <v>113</v>
      </c>
      <c r="I161">
        <v>0.30382407099999997</v>
      </c>
      <c r="J161">
        <v>0.75236228000000005</v>
      </c>
      <c r="K161">
        <f>IF(C161=C160,K160+1,1)</f>
        <v>3</v>
      </c>
      <c r="L161">
        <f>MIN(((374/K161)*I161),L162)</f>
        <v>1.1679165410000001</v>
      </c>
      <c r="M161">
        <f>-LOG10(L161)</f>
        <v>-6.7411809319025198E-2</v>
      </c>
    </row>
    <row r="162" spans="1:13" x14ac:dyDescent="0.2">
      <c r="A162" t="s">
        <v>128</v>
      </c>
      <c r="B162" t="s">
        <v>10</v>
      </c>
      <c r="C162" t="s">
        <v>11</v>
      </c>
      <c r="D162">
        <v>-0.30737741299999999</v>
      </c>
      <c r="E162" s="7">
        <f>ABS(D162)</f>
        <v>0.30737741299999999</v>
      </c>
      <c r="F162">
        <v>0.166025636</v>
      </c>
      <c r="G162">
        <v>146</v>
      </c>
      <c r="H162">
        <v>32</v>
      </c>
      <c r="I162">
        <v>6.6176760000000001E-2</v>
      </c>
      <c r="J162">
        <v>0.3896481</v>
      </c>
      <c r="K162">
        <f>IF(C162=C161,K161+1,1)</f>
        <v>4</v>
      </c>
      <c r="L162">
        <f>MIN(((374/K162)*I162),L163)</f>
        <v>1.1679165410000001</v>
      </c>
      <c r="M162">
        <f>-LOG10(L162)</f>
        <v>-6.7411809319025198E-2</v>
      </c>
    </row>
    <row r="163" spans="1:13" x14ac:dyDescent="0.2">
      <c r="A163" t="s">
        <v>67</v>
      </c>
      <c r="B163" t="s">
        <v>24</v>
      </c>
      <c r="C163" t="s">
        <v>25</v>
      </c>
      <c r="D163">
        <v>0.30546814500000002</v>
      </c>
      <c r="E163" s="7">
        <f>ABS(D163)</f>
        <v>0.30546814500000002</v>
      </c>
      <c r="F163">
        <v>0.179532364</v>
      </c>
      <c r="G163">
        <v>146</v>
      </c>
      <c r="H163">
        <v>32</v>
      </c>
      <c r="I163">
        <v>9.1028862000000002E-2</v>
      </c>
      <c r="J163">
        <v>0.46317881599999999</v>
      </c>
      <c r="K163">
        <f>IF(C163=C162,K162+1,1)</f>
        <v>1</v>
      </c>
      <c r="L163">
        <f>MIN(((374/K163)*I163),L164)</f>
        <v>1.1679165410000001</v>
      </c>
      <c r="M163">
        <f>-LOG10(L163)</f>
        <v>-6.7411809319025198E-2</v>
      </c>
    </row>
    <row r="164" spans="1:13" x14ac:dyDescent="0.2">
      <c r="A164" t="s">
        <v>43</v>
      </c>
      <c r="B164" t="s">
        <v>24</v>
      </c>
      <c r="C164" t="s">
        <v>25</v>
      </c>
      <c r="D164">
        <v>0.30422862899999997</v>
      </c>
      <c r="E164" s="7">
        <f>ABS(D164)</f>
        <v>0.30422862899999997</v>
      </c>
      <c r="F164">
        <v>0.25155565499999999</v>
      </c>
      <c r="G164">
        <v>146</v>
      </c>
      <c r="H164">
        <v>75</v>
      </c>
      <c r="I164">
        <v>0.22850910499999999</v>
      </c>
      <c r="J164">
        <v>0.70642057999999996</v>
      </c>
      <c r="K164">
        <f>IF(C164=C163,K163+1,1)</f>
        <v>2</v>
      </c>
      <c r="L164">
        <f>MIN(((374/K164)*I164),L165)</f>
        <v>1.1679165410000001</v>
      </c>
      <c r="M164">
        <f>-LOG10(L164)</f>
        <v>-6.7411809319025198E-2</v>
      </c>
    </row>
    <row r="165" spans="1:13" x14ac:dyDescent="0.2">
      <c r="A165" t="s">
        <v>221</v>
      </c>
      <c r="B165" t="s">
        <v>24</v>
      </c>
      <c r="C165" t="s">
        <v>25</v>
      </c>
      <c r="D165">
        <v>-0.30206994500000001</v>
      </c>
      <c r="E165" s="7">
        <f>ABS(D165)</f>
        <v>0.30206994500000001</v>
      </c>
      <c r="F165">
        <v>0.26068475499999999</v>
      </c>
      <c r="G165">
        <v>146</v>
      </c>
      <c r="H165">
        <v>49</v>
      </c>
      <c r="I165">
        <v>0.248487185</v>
      </c>
      <c r="J165">
        <v>0.716456647</v>
      </c>
      <c r="K165">
        <f>IF(C165=C164,K164+1,1)</f>
        <v>3</v>
      </c>
      <c r="L165">
        <f>MIN(((374/K165)*I165),L166)</f>
        <v>1.1679165410000001</v>
      </c>
      <c r="M165">
        <f>-LOG10(L165)</f>
        <v>-6.7411809319025198E-2</v>
      </c>
    </row>
    <row r="166" spans="1:13" x14ac:dyDescent="0.2">
      <c r="A166" t="s">
        <v>152</v>
      </c>
      <c r="B166" t="s">
        <v>10</v>
      </c>
      <c r="C166" t="s">
        <v>11</v>
      </c>
      <c r="D166">
        <v>0.30107570900000002</v>
      </c>
      <c r="E166" s="7">
        <f>ABS(D166)</f>
        <v>0.30107570900000002</v>
      </c>
      <c r="F166">
        <v>0.18541959099999999</v>
      </c>
      <c r="G166">
        <v>146</v>
      </c>
      <c r="H166">
        <v>56</v>
      </c>
      <c r="I166">
        <v>0.10663075</v>
      </c>
      <c r="J166">
        <v>0.49849875799999999</v>
      </c>
      <c r="K166">
        <f>IF(C166=C165,K165+1,1)</f>
        <v>1</v>
      </c>
      <c r="L166">
        <f>MIN(((374/K166)*I166),L167)</f>
        <v>1.1679165410000001</v>
      </c>
      <c r="M166">
        <f>-LOG10(L166)</f>
        <v>-6.7411809319025198E-2</v>
      </c>
    </row>
    <row r="167" spans="1:13" x14ac:dyDescent="0.2">
      <c r="A167" t="s">
        <v>188</v>
      </c>
      <c r="B167" t="s">
        <v>24</v>
      </c>
      <c r="C167" t="s">
        <v>25</v>
      </c>
      <c r="D167">
        <v>-0.29945679800000002</v>
      </c>
      <c r="E167" s="7">
        <f>ABS(D167)</f>
        <v>0.29945679800000002</v>
      </c>
      <c r="F167">
        <v>0.22238024100000001</v>
      </c>
      <c r="G167">
        <v>146</v>
      </c>
      <c r="H167">
        <v>64</v>
      </c>
      <c r="I167">
        <v>0.18024015800000001</v>
      </c>
      <c r="J167">
        <v>0.64817133800000004</v>
      </c>
      <c r="K167">
        <f>IF(C167=C166,K166+1,1)</f>
        <v>1</v>
      </c>
      <c r="L167">
        <f>MIN(((374/K167)*I167),L168)</f>
        <v>1.1679165410000001</v>
      </c>
      <c r="M167">
        <f>-LOG10(L167)</f>
        <v>-6.7411809319025198E-2</v>
      </c>
    </row>
    <row r="168" spans="1:13" x14ac:dyDescent="0.2">
      <c r="A168" t="s">
        <v>189</v>
      </c>
      <c r="B168" t="s">
        <v>10</v>
      </c>
      <c r="C168" t="s">
        <v>11</v>
      </c>
      <c r="D168">
        <v>-0.29731380200000002</v>
      </c>
      <c r="E168" s="7">
        <f>ABS(D168)</f>
        <v>0.29731380200000002</v>
      </c>
      <c r="F168">
        <v>0.28987258799999999</v>
      </c>
      <c r="G168">
        <v>146</v>
      </c>
      <c r="H168">
        <v>61</v>
      </c>
      <c r="I168">
        <v>0.30677873700000002</v>
      </c>
      <c r="J168">
        <v>0.75236228000000005</v>
      </c>
      <c r="K168">
        <f>IF(C168=C167,K167+1,1)</f>
        <v>1</v>
      </c>
      <c r="L168">
        <f>MIN(((374/K168)*I168),L169)</f>
        <v>1.1679165410000001</v>
      </c>
      <c r="M168">
        <f>-LOG10(L168)</f>
        <v>-6.7411809319025198E-2</v>
      </c>
    </row>
    <row r="169" spans="1:13" x14ac:dyDescent="0.2">
      <c r="A169" t="s">
        <v>138</v>
      </c>
      <c r="B169" t="s">
        <v>24</v>
      </c>
      <c r="C169" t="s">
        <v>25</v>
      </c>
      <c r="D169">
        <v>0.29627417299999997</v>
      </c>
      <c r="E169" s="7">
        <f>ABS(D169)</f>
        <v>0.29627417299999997</v>
      </c>
      <c r="F169">
        <v>0.169055961</v>
      </c>
      <c r="G169">
        <v>146</v>
      </c>
      <c r="H169">
        <v>25</v>
      </c>
      <c r="I169">
        <v>8.1827479999999994E-2</v>
      </c>
      <c r="J169">
        <v>0.43719253400000002</v>
      </c>
      <c r="K169">
        <f>IF(C169=C168,K168+1,1)</f>
        <v>1</v>
      </c>
      <c r="L169">
        <f>MIN(((374/K169)*I169),L170)</f>
        <v>1.1679165410000001</v>
      </c>
      <c r="M169">
        <f>-LOG10(L169)</f>
        <v>-6.7411809319025198E-2</v>
      </c>
    </row>
    <row r="170" spans="1:13" x14ac:dyDescent="0.2">
      <c r="A170" t="s">
        <v>148</v>
      </c>
      <c r="B170" t="s">
        <v>10</v>
      </c>
      <c r="C170" t="s">
        <v>11</v>
      </c>
      <c r="D170">
        <v>-0.29427124900000001</v>
      </c>
      <c r="E170" s="7">
        <f>ABS(D170)</f>
        <v>0.29427124900000001</v>
      </c>
      <c r="F170">
        <v>0.23771073000000001</v>
      </c>
      <c r="G170">
        <v>146</v>
      </c>
      <c r="H170">
        <v>26</v>
      </c>
      <c r="I170">
        <v>0.2177675</v>
      </c>
      <c r="J170">
        <v>0.699099099</v>
      </c>
      <c r="K170">
        <f>IF(C170=C169,K169+1,1)</f>
        <v>1</v>
      </c>
      <c r="L170">
        <f>MIN(((374/K170)*I170),L171)</f>
        <v>1.1679165410000001</v>
      </c>
      <c r="M170">
        <f>-LOG10(L170)</f>
        <v>-6.7411809319025198E-2</v>
      </c>
    </row>
    <row r="171" spans="1:13" x14ac:dyDescent="0.2">
      <c r="A171" t="s">
        <v>179</v>
      </c>
      <c r="B171" t="s">
        <v>24</v>
      </c>
      <c r="C171" t="s">
        <v>25</v>
      </c>
      <c r="D171">
        <v>-0.294100521</v>
      </c>
      <c r="E171" s="7">
        <f>ABS(D171)</f>
        <v>0.294100521</v>
      </c>
      <c r="F171">
        <v>0.20551897499999999</v>
      </c>
      <c r="G171">
        <v>146</v>
      </c>
      <c r="H171">
        <v>49</v>
      </c>
      <c r="I171">
        <v>0.154607934</v>
      </c>
      <c r="J171">
        <v>0.59306017799999999</v>
      </c>
      <c r="K171">
        <f>IF(C171=C170,K170+1,1)</f>
        <v>1</v>
      </c>
      <c r="L171">
        <f>MIN(((374/K171)*I171),L172)</f>
        <v>1.1679165410000001</v>
      </c>
      <c r="M171">
        <f>-LOG10(L171)</f>
        <v>-6.7411809319025198E-2</v>
      </c>
    </row>
    <row r="172" spans="1:13" x14ac:dyDescent="0.2">
      <c r="A172" t="s">
        <v>165</v>
      </c>
      <c r="B172" t="s">
        <v>10</v>
      </c>
      <c r="C172" t="s">
        <v>11</v>
      </c>
      <c r="D172">
        <v>-0.29222594499999999</v>
      </c>
      <c r="E172" s="7">
        <f>ABS(D172)</f>
        <v>0.29222594499999999</v>
      </c>
      <c r="F172">
        <v>0.191037291</v>
      </c>
      <c r="G172">
        <v>146</v>
      </c>
      <c r="H172">
        <v>44</v>
      </c>
      <c r="I172">
        <v>0.12830502999999999</v>
      </c>
      <c r="J172">
        <v>0.54529637900000005</v>
      </c>
      <c r="K172">
        <f>IF(C172=C171,K171+1,1)</f>
        <v>1</v>
      </c>
      <c r="L172">
        <f>MIN(((374/K172)*I172),L173)</f>
        <v>1.1679165410000001</v>
      </c>
      <c r="M172">
        <f>-LOG10(L172)</f>
        <v>-6.7411809319025198E-2</v>
      </c>
    </row>
    <row r="173" spans="1:13" x14ac:dyDescent="0.2">
      <c r="A173" t="s">
        <v>202</v>
      </c>
      <c r="B173" t="s">
        <v>10</v>
      </c>
      <c r="C173" t="s">
        <v>11</v>
      </c>
      <c r="D173">
        <v>0.289996003</v>
      </c>
      <c r="E173" s="7">
        <f>ABS(D173)</f>
        <v>0.289996003</v>
      </c>
      <c r="F173">
        <v>0.22991961899999999</v>
      </c>
      <c r="G173">
        <v>146</v>
      </c>
      <c r="H173">
        <v>54</v>
      </c>
      <c r="I173">
        <v>0.20925702700000001</v>
      </c>
      <c r="J173">
        <v>0.69362273799999996</v>
      </c>
      <c r="K173">
        <f>IF(C173=C172,K172+1,1)</f>
        <v>2</v>
      </c>
      <c r="L173">
        <f>MIN(((374/K173)*I173),L174)</f>
        <v>1.1679165410000001</v>
      </c>
      <c r="M173">
        <f>-LOG10(L173)</f>
        <v>-6.7411809319025198E-2</v>
      </c>
    </row>
    <row r="174" spans="1:13" x14ac:dyDescent="0.2">
      <c r="A174" t="s">
        <v>66</v>
      </c>
      <c r="B174" t="s">
        <v>10</v>
      </c>
      <c r="C174" t="s">
        <v>11</v>
      </c>
      <c r="D174">
        <v>0.28923942699999999</v>
      </c>
      <c r="E174" s="7">
        <f>ABS(D174)</f>
        <v>0.28923942699999999</v>
      </c>
      <c r="F174">
        <v>0.118089603</v>
      </c>
      <c r="G174">
        <v>146</v>
      </c>
      <c r="H174">
        <v>22</v>
      </c>
      <c r="I174">
        <v>1.5521319E-2</v>
      </c>
      <c r="J174">
        <v>0.196778758</v>
      </c>
      <c r="K174">
        <f>IF(C174=C173,K173+1,1)</f>
        <v>3</v>
      </c>
      <c r="L174">
        <f>MIN(((374/K174)*I174),L175)</f>
        <v>1.1679165410000001</v>
      </c>
      <c r="M174">
        <f>-LOG10(L174)</f>
        <v>-6.7411809319025198E-2</v>
      </c>
    </row>
    <row r="175" spans="1:13" x14ac:dyDescent="0.2">
      <c r="A175" t="s">
        <v>293</v>
      </c>
      <c r="B175" t="s">
        <v>10</v>
      </c>
      <c r="C175" t="s">
        <v>11</v>
      </c>
      <c r="D175">
        <v>-0.28822524700000002</v>
      </c>
      <c r="E175" s="7">
        <f>ABS(D175)</f>
        <v>0.28822524700000002</v>
      </c>
      <c r="F175">
        <v>0.35365959699999999</v>
      </c>
      <c r="G175">
        <v>146</v>
      </c>
      <c r="H175">
        <v>122</v>
      </c>
      <c r="I175">
        <v>0.41643940400000001</v>
      </c>
      <c r="J175">
        <v>0.83366836200000005</v>
      </c>
      <c r="K175">
        <f>IF(C175=C174,K174+1,1)</f>
        <v>4</v>
      </c>
      <c r="L175">
        <f>MIN(((374/K175)*I175),L176)</f>
        <v>1.1679165410000001</v>
      </c>
      <c r="M175">
        <f>-LOG10(L175)</f>
        <v>-6.7411809319025198E-2</v>
      </c>
    </row>
    <row r="176" spans="1:13" x14ac:dyDescent="0.2">
      <c r="A176" t="s">
        <v>223</v>
      </c>
      <c r="B176" t="s">
        <v>10</v>
      </c>
      <c r="C176" t="s">
        <v>11</v>
      </c>
      <c r="D176">
        <v>0.28779817899999999</v>
      </c>
      <c r="E176" s="7">
        <f>ABS(D176)</f>
        <v>0.28779817899999999</v>
      </c>
      <c r="F176">
        <v>0.24916363899999999</v>
      </c>
      <c r="G176">
        <v>146</v>
      </c>
      <c r="H176">
        <v>38</v>
      </c>
      <c r="I176">
        <v>0.249993563</v>
      </c>
      <c r="J176">
        <v>0.716456647</v>
      </c>
      <c r="K176">
        <f>IF(C176=C175,K175+1,1)</f>
        <v>5</v>
      </c>
      <c r="L176">
        <f>MIN(((374/K176)*I176),L177)</f>
        <v>1.1679165410000001</v>
      </c>
      <c r="M176">
        <f>-LOG10(L176)</f>
        <v>-6.7411809319025198E-2</v>
      </c>
    </row>
    <row r="177" spans="1:13" x14ac:dyDescent="0.2">
      <c r="A177" t="s">
        <v>236</v>
      </c>
      <c r="B177" t="s">
        <v>24</v>
      </c>
      <c r="C177" t="s">
        <v>25</v>
      </c>
      <c r="D177">
        <v>0.287138063</v>
      </c>
      <c r="E177" s="7">
        <f>ABS(D177)</f>
        <v>0.287138063</v>
      </c>
      <c r="F177">
        <v>0.261777131</v>
      </c>
      <c r="G177">
        <v>146</v>
      </c>
      <c r="H177">
        <v>85</v>
      </c>
      <c r="I177">
        <v>0.274537592</v>
      </c>
      <c r="J177">
        <v>0.74403666300000004</v>
      </c>
      <c r="K177">
        <f>IF(C177=C176,K176+1,1)</f>
        <v>1</v>
      </c>
      <c r="L177">
        <f>MIN(((374/K177)*I177),L178)</f>
        <v>1.1679165410000001</v>
      </c>
      <c r="M177">
        <f>-LOG10(L177)</f>
        <v>-6.7411809319025198E-2</v>
      </c>
    </row>
    <row r="178" spans="1:13" x14ac:dyDescent="0.2">
      <c r="A178" t="s">
        <v>172</v>
      </c>
      <c r="B178" t="s">
        <v>24</v>
      </c>
      <c r="C178" t="s">
        <v>25</v>
      </c>
      <c r="D178">
        <v>-0.28590274799999998</v>
      </c>
      <c r="E178" s="7">
        <f>ABS(D178)</f>
        <v>0.28590274799999998</v>
      </c>
      <c r="F178">
        <v>0.29661045699999999</v>
      </c>
      <c r="G178">
        <v>146</v>
      </c>
      <c r="H178">
        <v>111</v>
      </c>
      <c r="I178">
        <v>0.33672337299999999</v>
      </c>
      <c r="J178">
        <v>0.77889163400000005</v>
      </c>
      <c r="K178">
        <f>IF(C178=C177,K177+1,1)</f>
        <v>2</v>
      </c>
      <c r="L178">
        <f>MIN(((374/K178)*I178),L179)</f>
        <v>1.1679165410000001</v>
      </c>
      <c r="M178">
        <f>-LOG10(L178)</f>
        <v>-6.7411809319025198E-2</v>
      </c>
    </row>
    <row r="179" spans="1:13" x14ac:dyDescent="0.2">
      <c r="A179" t="s">
        <v>144</v>
      </c>
      <c r="B179" t="s">
        <v>24</v>
      </c>
      <c r="C179" t="s">
        <v>25</v>
      </c>
      <c r="D179">
        <v>-0.28583186199999999</v>
      </c>
      <c r="E179" s="7">
        <f>ABS(D179)</f>
        <v>0.28583186199999999</v>
      </c>
      <c r="F179">
        <v>0.16763388800000001</v>
      </c>
      <c r="G179">
        <v>146</v>
      </c>
      <c r="H179">
        <v>36</v>
      </c>
      <c r="I179">
        <v>9.0347951999999995E-2</v>
      </c>
      <c r="J179">
        <v>0.46317881599999999</v>
      </c>
      <c r="K179">
        <f>IF(C179=C178,K178+1,1)</f>
        <v>3</v>
      </c>
      <c r="L179">
        <f>MIN(((374/K179)*I179),L180)</f>
        <v>1.1679165410000001</v>
      </c>
      <c r="M179">
        <f>-LOG10(L179)</f>
        <v>-6.7411809319025198E-2</v>
      </c>
    </row>
    <row r="180" spans="1:13" x14ac:dyDescent="0.2">
      <c r="A180" t="s">
        <v>215</v>
      </c>
      <c r="B180" t="s">
        <v>10</v>
      </c>
      <c r="C180" t="s">
        <v>11</v>
      </c>
      <c r="D180">
        <v>-0.283932623</v>
      </c>
      <c r="E180" s="7">
        <f>ABS(D180)</f>
        <v>0.283932623</v>
      </c>
      <c r="F180">
        <v>0.24103390099999999</v>
      </c>
      <c r="G180">
        <v>146</v>
      </c>
      <c r="H180">
        <v>93</v>
      </c>
      <c r="I180">
        <v>0.24076203199999999</v>
      </c>
      <c r="J180">
        <v>0.71505164399999999</v>
      </c>
      <c r="K180">
        <f>IF(C180=C179,K179+1,1)</f>
        <v>1</v>
      </c>
      <c r="L180">
        <f>MIN(((374/K180)*I180),L181)</f>
        <v>1.1679165410000001</v>
      </c>
      <c r="M180">
        <f>-LOG10(L180)</f>
        <v>-6.7411809319025198E-2</v>
      </c>
    </row>
    <row r="181" spans="1:13" x14ac:dyDescent="0.2">
      <c r="A181" t="s">
        <v>241</v>
      </c>
      <c r="B181" t="s">
        <v>10</v>
      </c>
      <c r="C181" t="s">
        <v>11</v>
      </c>
      <c r="D181">
        <v>-0.28272329899999998</v>
      </c>
      <c r="E181" s="7">
        <f>ABS(D181)</f>
        <v>0.28272329899999998</v>
      </c>
      <c r="F181">
        <v>0.27001371699999999</v>
      </c>
      <c r="G181">
        <v>146</v>
      </c>
      <c r="H181">
        <v>49</v>
      </c>
      <c r="I181">
        <v>0.29683380500000001</v>
      </c>
      <c r="J181">
        <v>0.74902001500000004</v>
      </c>
      <c r="K181">
        <f>IF(C181=C180,K180+1,1)</f>
        <v>2</v>
      </c>
      <c r="L181">
        <f>MIN(((374/K181)*I181),L182)</f>
        <v>1.1679165410000001</v>
      </c>
      <c r="M181">
        <f>-LOG10(L181)</f>
        <v>-6.7411809319025198E-2</v>
      </c>
    </row>
    <row r="182" spans="1:13" x14ac:dyDescent="0.2">
      <c r="A182" t="s">
        <v>286</v>
      </c>
      <c r="B182" t="s">
        <v>24</v>
      </c>
      <c r="C182" t="s">
        <v>25</v>
      </c>
      <c r="D182">
        <v>-0.28260181600000001</v>
      </c>
      <c r="E182" s="7">
        <f>ABS(D182)</f>
        <v>0.28260181600000001</v>
      </c>
      <c r="F182">
        <v>0.33901389700000001</v>
      </c>
      <c r="G182">
        <v>146</v>
      </c>
      <c r="H182">
        <v>55</v>
      </c>
      <c r="I182">
        <v>0.40589693599999999</v>
      </c>
      <c r="J182">
        <v>0.82511210700000004</v>
      </c>
      <c r="K182">
        <f>IF(C182=C181,K181+1,1)</f>
        <v>1</v>
      </c>
      <c r="L182">
        <f>MIN(((374/K182)*I182),L183)</f>
        <v>1.1679165410000001</v>
      </c>
      <c r="M182">
        <f>-LOG10(L182)</f>
        <v>-6.7411809319025198E-2</v>
      </c>
    </row>
    <row r="183" spans="1:13" x14ac:dyDescent="0.2">
      <c r="A183" t="s">
        <v>81</v>
      </c>
      <c r="B183" t="s">
        <v>10</v>
      </c>
      <c r="C183" t="s">
        <v>11</v>
      </c>
      <c r="D183">
        <v>0.28232141999999999</v>
      </c>
      <c r="E183" s="7">
        <f>ABS(D183)</f>
        <v>0.28232141999999999</v>
      </c>
      <c r="F183">
        <v>0.14665165999999999</v>
      </c>
      <c r="G183">
        <v>146</v>
      </c>
      <c r="H183">
        <v>15</v>
      </c>
      <c r="I183">
        <v>5.6200102000000002E-2</v>
      </c>
      <c r="J183">
        <v>0.35406327900000001</v>
      </c>
      <c r="K183">
        <f>IF(C183=C182,K182+1,1)</f>
        <v>1</v>
      </c>
      <c r="L183">
        <f>MIN(((374/K183)*I183),L184)</f>
        <v>1.1679165410000001</v>
      </c>
      <c r="M183">
        <f>-LOG10(L183)</f>
        <v>-6.7411809319025198E-2</v>
      </c>
    </row>
    <row r="184" spans="1:13" x14ac:dyDescent="0.2">
      <c r="A184" t="s">
        <v>269</v>
      </c>
      <c r="B184" t="s">
        <v>10</v>
      </c>
      <c r="C184" t="s">
        <v>11</v>
      </c>
      <c r="D184">
        <v>0.28131553999999998</v>
      </c>
      <c r="E184" s="7">
        <f>ABS(D184)</f>
        <v>0.28131553999999998</v>
      </c>
      <c r="F184">
        <v>0.29623494900000003</v>
      </c>
      <c r="G184">
        <v>146</v>
      </c>
      <c r="H184">
        <v>22</v>
      </c>
      <c r="I184">
        <v>0.343899124</v>
      </c>
      <c r="J184">
        <v>0.77889163400000005</v>
      </c>
      <c r="K184">
        <f>IF(C184=C183,K183+1,1)</f>
        <v>2</v>
      </c>
      <c r="L184">
        <f>MIN(((374/K184)*I184),L185)</f>
        <v>1.1679165410000001</v>
      </c>
      <c r="M184">
        <f>-LOG10(L184)</f>
        <v>-6.7411809319025198E-2</v>
      </c>
    </row>
    <row r="185" spans="1:13" x14ac:dyDescent="0.2">
      <c r="A185" t="s">
        <v>265</v>
      </c>
      <c r="B185" t="s">
        <v>10</v>
      </c>
      <c r="C185" t="s">
        <v>11</v>
      </c>
      <c r="D185">
        <v>-0.28087420800000001</v>
      </c>
      <c r="E185" s="7">
        <f>ABS(D185)</f>
        <v>0.28087420800000001</v>
      </c>
      <c r="F185">
        <v>0.29445583800000003</v>
      </c>
      <c r="G185">
        <v>146</v>
      </c>
      <c r="H185">
        <v>97</v>
      </c>
      <c r="I185">
        <v>0.34175630499999998</v>
      </c>
      <c r="J185">
        <v>0.77889163400000005</v>
      </c>
      <c r="K185">
        <f>IF(C185=C184,K184+1,1)</f>
        <v>3</v>
      </c>
      <c r="L185">
        <f>MIN(((374/K185)*I185),L186)</f>
        <v>1.1679165410000001</v>
      </c>
      <c r="M185">
        <f>-LOG10(L185)</f>
        <v>-6.7411809319025198E-2</v>
      </c>
    </row>
    <row r="186" spans="1:13" x14ac:dyDescent="0.2">
      <c r="A186" t="s">
        <v>61</v>
      </c>
      <c r="B186" t="s">
        <v>24</v>
      </c>
      <c r="C186" t="s">
        <v>25</v>
      </c>
      <c r="D186">
        <v>-0.28080296799999999</v>
      </c>
      <c r="E186" s="7">
        <f>ABS(D186)</f>
        <v>0.28080296799999999</v>
      </c>
      <c r="F186">
        <v>0.21444464699999999</v>
      </c>
      <c r="G186">
        <v>146</v>
      </c>
      <c r="H186">
        <v>78</v>
      </c>
      <c r="I186">
        <v>0.192484444</v>
      </c>
      <c r="J186">
        <v>0.66966680899999997</v>
      </c>
      <c r="K186">
        <f>IF(C186=C185,K185+1,1)</f>
        <v>1</v>
      </c>
      <c r="L186">
        <f>MIN(((374/K186)*I186),L187)</f>
        <v>1.1679165410000001</v>
      </c>
      <c r="M186">
        <f>-LOG10(L186)</f>
        <v>-6.7411809319025198E-2</v>
      </c>
    </row>
    <row r="187" spans="1:13" x14ac:dyDescent="0.2">
      <c r="A187" t="s">
        <v>100</v>
      </c>
      <c r="B187" t="s">
        <v>24</v>
      </c>
      <c r="C187" t="s">
        <v>25</v>
      </c>
      <c r="D187">
        <v>0.28031192900000002</v>
      </c>
      <c r="E187" s="7">
        <f>ABS(D187)</f>
        <v>0.28031192900000002</v>
      </c>
      <c r="F187">
        <v>0.13269901000000001</v>
      </c>
      <c r="G187">
        <v>146</v>
      </c>
      <c r="H187">
        <v>20</v>
      </c>
      <c r="I187">
        <v>3.6391043999999997E-2</v>
      </c>
      <c r="J187">
        <v>0.285327573</v>
      </c>
      <c r="K187">
        <f>IF(C187=C186,K186+1,1)</f>
        <v>2</v>
      </c>
      <c r="L187">
        <f>MIN(((374/K187)*I187),L188)</f>
        <v>1.1679165410000001</v>
      </c>
      <c r="M187">
        <f>-LOG10(L187)</f>
        <v>-6.7411809319025198E-2</v>
      </c>
    </row>
    <row r="188" spans="1:13" x14ac:dyDescent="0.2">
      <c r="A188" t="s">
        <v>46</v>
      </c>
      <c r="B188" t="s">
        <v>24</v>
      </c>
      <c r="C188" t="s">
        <v>25</v>
      </c>
      <c r="D188">
        <v>-0.27999477499999997</v>
      </c>
      <c r="E188" s="7">
        <f>ABS(D188)</f>
        <v>0.27999477499999997</v>
      </c>
      <c r="F188">
        <v>0.17234655199999999</v>
      </c>
      <c r="G188">
        <v>146</v>
      </c>
      <c r="H188">
        <v>65</v>
      </c>
      <c r="I188">
        <v>0.106449233</v>
      </c>
      <c r="J188">
        <v>0.49849875799999999</v>
      </c>
      <c r="K188">
        <f>IF(C188=C187,K187+1,1)</f>
        <v>3</v>
      </c>
      <c r="L188">
        <f>MIN(((374/K188)*I188),L189)</f>
        <v>1.1679165410000001</v>
      </c>
      <c r="M188">
        <f>-LOG10(L188)</f>
        <v>-6.7411809319025198E-2</v>
      </c>
    </row>
    <row r="189" spans="1:13" x14ac:dyDescent="0.2">
      <c r="A189" t="s">
        <v>260</v>
      </c>
      <c r="B189" t="s">
        <v>10</v>
      </c>
      <c r="C189" t="s">
        <v>11</v>
      </c>
      <c r="D189">
        <v>0.279227214</v>
      </c>
      <c r="E189" s="7">
        <f>ABS(D189)</f>
        <v>0.279227214</v>
      </c>
      <c r="F189">
        <v>0.28161043899999999</v>
      </c>
      <c r="G189">
        <v>146</v>
      </c>
      <c r="H189">
        <v>96</v>
      </c>
      <c r="I189">
        <v>0.32309816200000002</v>
      </c>
      <c r="J189">
        <v>0.76722992000000001</v>
      </c>
      <c r="K189">
        <f>IF(C189=C188,K188+1,1)</f>
        <v>1</v>
      </c>
      <c r="L189">
        <f>MIN(((374/K189)*I189),L190)</f>
        <v>1.1679165410000001</v>
      </c>
      <c r="M189">
        <f>-LOG10(L189)</f>
        <v>-6.7411809319025198E-2</v>
      </c>
    </row>
    <row r="190" spans="1:13" x14ac:dyDescent="0.2">
      <c r="A190" t="s">
        <v>160</v>
      </c>
      <c r="B190" t="s">
        <v>10</v>
      </c>
      <c r="C190" t="s">
        <v>11</v>
      </c>
      <c r="D190">
        <v>-0.27805895200000003</v>
      </c>
      <c r="E190" s="7">
        <f>ABS(D190)</f>
        <v>0.27805895200000003</v>
      </c>
      <c r="F190">
        <v>0.177505474</v>
      </c>
      <c r="G190">
        <v>146</v>
      </c>
      <c r="H190">
        <v>51</v>
      </c>
      <c r="I190">
        <v>0.119446292</v>
      </c>
      <c r="J190">
        <v>0.52556368399999998</v>
      </c>
      <c r="K190">
        <f>IF(C190=C189,K189+1,1)</f>
        <v>2</v>
      </c>
      <c r="L190">
        <f>MIN(((374/K190)*I190),L191)</f>
        <v>1.1679165410000001</v>
      </c>
      <c r="M190">
        <f>-LOG10(L190)</f>
        <v>-6.7411809319025198E-2</v>
      </c>
    </row>
    <row r="191" spans="1:13" x14ac:dyDescent="0.2">
      <c r="A191" t="s">
        <v>117</v>
      </c>
      <c r="B191" t="s">
        <v>24</v>
      </c>
      <c r="C191" t="s">
        <v>25</v>
      </c>
      <c r="D191">
        <v>-0.27785238800000001</v>
      </c>
      <c r="E191" s="7">
        <f>ABS(D191)</f>
        <v>0.27785238800000001</v>
      </c>
      <c r="F191">
        <v>0.30967895600000001</v>
      </c>
      <c r="G191">
        <v>146</v>
      </c>
      <c r="H191">
        <v>112</v>
      </c>
      <c r="I191">
        <v>0.37110574200000002</v>
      </c>
      <c r="J191">
        <v>0.79251592199999998</v>
      </c>
      <c r="K191">
        <f>IF(C191=C190,K190+1,1)</f>
        <v>1</v>
      </c>
      <c r="L191">
        <f>MIN(((374/K191)*I191),L192)</f>
        <v>1.1679165410000001</v>
      </c>
      <c r="M191">
        <f>-LOG10(L191)</f>
        <v>-6.7411809319025198E-2</v>
      </c>
    </row>
    <row r="192" spans="1:13" x14ac:dyDescent="0.2">
      <c r="A192" t="s">
        <v>235</v>
      </c>
      <c r="B192" t="s">
        <v>10</v>
      </c>
      <c r="C192" t="s">
        <v>11</v>
      </c>
      <c r="D192">
        <v>0.27621347299999999</v>
      </c>
      <c r="E192" s="7">
        <f>ABS(D192)</f>
        <v>0.27621347299999999</v>
      </c>
      <c r="F192">
        <v>0.25107763500000002</v>
      </c>
      <c r="G192">
        <v>146</v>
      </c>
      <c r="H192">
        <v>49</v>
      </c>
      <c r="I192">
        <v>0.27313189799999998</v>
      </c>
      <c r="J192">
        <v>0.74403666300000004</v>
      </c>
      <c r="K192">
        <f>IF(C192=C191,K191+1,1)</f>
        <v>1</v>
      </c>
      <c r="L192">
        <f>MIN(((374/K192)*I192),L193)</f>
        <v>1.1679165410000001</v>
      </c>
      <c r="M192">
        <f>-LOG10(L192)</f>
        <v>-6.7411809319025198E-2</v>
      </c>
    </row>
    <row r="193" spans="1:13" x14ac:dyDescent="0.2">
      <c r="A193" t="s">
        <v>225</v>
      </c>
      <c r="B193" t="s">
        <v>10</v>
      </c>
      <c r="C193" t="s">
        <v>11</v>
      </c>
      <c r="D193">
        <v>0.27552183899999999</v>
      </c>
      <c r="E193" s="7">
        <f>ABS(D193)</f>
        <v>0.27552183899999999</v>
      </c>
      <c r="F193">
        <v>0.24256372400000001</v>
      </c>
      <c r="G193">
        <v>146</v>
      </c>
      <c r="H193">
        <v>57</v>
      </c>
      <c r="I193">
        <v>0.25790936399999997</v>
      </c>
      <c r="J193">
        <v>0.73097919600000005</v>
      </c>
      <c r="K193">
        <f>IF(C193=C192,K192+1,1)</f>
        <v>2</v>
      </c>
      <c r="L193">
        <f>MIN(((374/K193)*I193),L194)</f>
        <v>1.1679165410000001</v>
      </c>
      <c r="M193">
        <f>-LOG10(L193)</f>
        <v>-6.7411809319025198E-2</v>
      </c>
    </row>
    <row r="194" spans="1:13" x14ac:dyDescent="0.2">
      <c r="A194" t="s">
        <v>243</v>
      </c>
      <c r="B194" t="s">
        <v>10</v>
      </c>
      <c r="C194" t="s">
        <v>11</v>
      </c>
      <c r="D194">
        <v>-0.27334551499999998</v>
      </c>
      <c r="E194" s="7">
        <f>ABS(D194)</f>
        <v>0.27334551499999998</v>
      </c>
      <c r="F194">
        <v>0.25944273000000001</v>
      </c>
      <c r="G194">
        <v>146</v>
      </c>
      <c r="H194">
        <v>89</v>
      </c>
      <c r="I194">
        <v>0.29384895500000002</v>
      </c>
      <c r="J194">
        <v>0.74902001500000004</v>
      </c>
      <c r="K194">
        <f>IF(C194=C193,K193+1,1)</f>
        <v>3</v>
      </c>
      <c r="L194">
        <f>MIN(((374/K194)*I194),L195)</f>
        <v>1.1679165410000001</v>
      </c>
      <c r="M194">
        <f>-LOG10(L194)</f>
        <v>-6.7411809319025198E-2</v>
      </c>
    </row>
    <row r="195" spans="1:13" x14ac:dyDescent="0.2">
      <c r="A195" t="s">
        <v>279</v>
      </c>
      <c r="B195" t="s">
        <v>10</v>
      </c>
      <c r="C195" t="s">
        <v>11</v>
      </c>
      <c r="D195">
        <v>0.27316524599999997</v>
      </c>
      <c r="E195" s="7">
        <f>ABS(D195)</f>
        <v>0.27316524599999997</v>
      </c>
      <c r="F195">
        <v>0.30989594599999998</v>
      </c>
      <c r="G195">
        <v>146</v>
      </c>
      <c r="H195">
        <v>86</v>
      </c>
      <c r="I195">
        <v>0.37954046499999999</v>
      </c>
      <c r="J195">
        <v>0.79780817199999998</v>
      </c>
      <c r="K195">
        <f>IF(C195=C194,K194+1,1)</f>
        <v>4</v>
      </c>
      <c r="L195">
        <f>MIN(((374/K195)*I195),L196)</f>
        <v>1.1679165410000001</v>
      </c>
      <c r="M195">
        <f>-LOG10(L195)</f>
        <v>-6.7411809319025198E-2</v>
      </c>
    </row>
    <row r="196" spans="1:13" x14ac:dyDescent="0.2">
      <c r="A196" t="s">
        <v>132</v>
      </c>
      <c r="B196" t="s">
        <v>24</v>
      </c>
      <c r="C196" t="s">
        <v>25</v>
      </c>
      <c r="D196">
        <v>-0.27201995299999998</v>
      </c>
      <c r="E196" s="7">
        <f>ABS(D196)</f>
        <v>0.27201995299999998</v>
      </c>
      <c r="F196">
        <v>0.26798059899999999</v>
      </c>
      <c r="G196">
        <v>146</v>
      </c>
      <c r="H196">
        <v>58</v>
      </c>
      <c r="I196">
        <v>0.31178526200000001</v>
      </c>
      <c r="J196">
        <v>0.75322784700000001</v>
      </c>
      <c r="K196">
        <f>IF(C196=C195,K195+1,1)</f>
        <v>1</v>
      </c>
      <c r="L196">
        <f>MIN(((374/K196)*I196),L197)</f>
        <v>1.1679165410000001</v>
      </c>
      <c r="M196">
        <f>-LOG10(L196)</f>
        <v>-6.7411809319025198E-2</v>
      </c>
    </row>
    <row r="197" spans="1:13" x14ac:dyDescent="0.2">
      <c r="A197" t="s">
        <v>255</v>
      </c>
      <c r="B197" t="s">
        <v>24</v>
      </c>
      <c r="C197" t="s">
        <v>25</v>
      </c>
      <c r="D197">
        <v>-0.27086423700000001</v>
      </c>
      <c r="E197" s="7">
        <f>ABS(D197)</f>
        <v>0.27086423700000001</v>
      </c>
      <c r="F197">
        <v>0.267053188</v>
      </c>
      <c r="G197">
        <v>146</v>
      </c>
      <c r="H197">
        <v>109</v>
      </c>
      <c r="I197">
        <v>0.31216662099999998</v>
      </c>
      <c r="J197">
        <v>0.75322784700000001</v>
      </c>
      <c r="K197">
        <f>IF(C197=C196,K196+1,1)</f>
        <v>2</v>
      </c>
      <c r="L197">
        <f>MIN(((374/K197)*I197),L198)</f>
        <v>1.1679165410000001</v>
      </c>
      <c r="M197">
        <f>-LOG10(L197)</f>
        <v>-6.7411809319025198E-2</v>
      </c>
    </row>
    <row r="198" spans="1:13" x14ac:dyDescent="0.2">
      <c r="A198" t="s">
        <v>289</v>
      </c>
      <c r="B198" t="s">
        <v>10</v>
      </c>
      <c r="C198" t="s">
        <v>11</v>
      </c>
      <c r="D198">
        <v>0.27078073699999999</v>
      </c>
      <c r="E198" s="7">
        <f>ABS(D198)</f>
        <v>0.27078073699999999</v>
      </c>
      <c r="F198">
        <v>0.32966856</v>
      </c>
      <c r="G198">
        <v>146</v>
      </c>
      <c r="H198">
        <v>43</v>
      </c>
      <c r="I198">
        <v>0.41280131399999997</v>
      </c>
      <c r="J198">
        <v>0.83227865999999995</v>
      </c>
      <c r="K198">
        <f>IF(C198=C197,K197+1,1)</f>
        <v>1</v>
      </c>
      <c r="L198">
        <f>MIN(((374/K198)*I198),L199)</f>
        <v>1.1679165410000001</v>
      </c>
      <c r="M198">
        <f>-LOG10(L198)</f>
        <v>-6.7411809319025198E-2</v>
      </c>
    </row>
    <row r="199" spans="1:13" x14ac:dyDescent="0.2">
      <c r="A199" t="s">
        <v>105</v>
      </c>
      <c r="B199" t="s">
        <v>10</v>
      </c>
      <c r="C199" t="s">
        <v>11</v>
      </c>
      <c r="D199">
        <v>-0.27071358099999998</v>
      </c>
      <c r="E199" s="7">
        <f>ABS(D199)</f>
        <v>0.27071358099999998</v>
      </c>
      <c r="F199">
        <v>0.13374383100000001</v>
      </c>
      <c r="G199">
        <v>146</v>
      </c>
      <c r="H199">
        <v>18</v>
      </c>
      <c r="I199">
        <v>4.4819943000000001E-2</v>
      </c>
      <c r="J199">
        <v>0.33654579400000001</v>
      </c>
      <c r="K199">
        <f>IF(C199=C198,K198+1,1)</f>
        <v>2</v>
      </c>
      <c r="L199">
        <f>MIN(((374/K199)*I199),L200)</f>
        <v>1.1679165410000001</v>
      </c>
      <c r="M199">
        <f>-LOG10(L199)</f>
        <v>-6.7411809319025198E-2</v>
      </c>
    </row>
    <row r="200" spans="1:13" x14ac:dyDescent="0.2">
      <c r="A200" t="s">
        <v>125</v>
      </c>
      <c r="B200" t="s">
        <v>10</v>
      </c>
      <c r="C200" t="s">
        <v>11</v>
      </c>
      <c r="D200">
        <v>0.26750878500000003</v>
      </c>
      <c r="E200" s="7">
        <f>ABS(D200)</f>
        <v>0.26750878500000003</v>
      </c>
      <c r="F200">
        <v>0.15150190499999999</v>
      </c>
      <c r="G200">
        <v>146</v>
      </c>
      <c r="H200">
        <v>17</v>
      </c>
      <c r="I200">
        <v>7.9578298000000006E-2</v>
      </c>
      <c r="J200">
        <v>0.43176862700000002</v>
      </c>
      <c r="K200">
        <f>IF(C200=C199,K199+1,1)</f>
        <v>3</v>
      </c>
      <c r="L200">
        <f>MIN(((374/K200)*I200),L201)</f>
        <v>1.1679165410000001</v>
      </c>
      <c r="M200">
        <f>-LOG10(L200)</f>
        <v>-6.7411809319025198E-2</v>
      </c>
    </row>
    <row r="201" spans="1:13" x14ac:dyDescent="0.2">
      <c r="A201" t="s">
        <v>98</v>
      </c>
      <c r="B201" t="s">
        <v>24</v>
      </c>
      <c r="C201" t="s">
        <v>25</v>
      </c>
      <c r="D201">
        <v>-0.26497733800000001</v>
      </c>
      <c r="E201" s="7">
        <f>ABS(D201)</f>
        <v>0.26497733800000001</v>
      </c>
      <c r="F201">
        <v>0.22546844499999999</v>
      </c>
      <c r="G201">
        <v>146</v>
      </c>
      <c r="H201">
        <v>87</v>
      </c>
      <c r="I201">
        <v>0.24185570300000001</v>
      </c>
      <c r="J201">
        <v>0.71505164399999999</v>
      </c>
      <c r="K201">
        <f>IF(C201=C200,K200+1,1)</f>
        <v>1</v>
      </c>
      <c r="L201">
        <f>MIN(((374/K201)*I201),L202)</f>
        <v>1.1679165410000001</v>
      </c>
      <c r="M201">
        <f>-LOG10(L201)</f>
        <v>-6.7411809319025198E-2</v>
      </c>
    </row>
    <row r="202" spans="1:13" x14ac:dyDescent="0.2">
      <c r="A202" t="s">
        <v>112</v>
      </c>
      <c r="B202" t="s">
        <v>10</v>
      </c>
      <c r="C202" t="s">
        <v>11</v>
      </c>
      <c r="D202">
        <v>0.26476513099999999</v>
      </c>
      <c r="E202" s="7">
        <f>ABS(D202)</f>
        <v>0.26476513099999999</v>
      </c>
      <c r="F202">
        <v>0.13437103</v>
      </c>
      <c r="G202">
        <v>146</v>
      </c>
      <c r="H202">
        <v>36</v>
      </c>
      <c r="I202">
        <v>5.0723544000000002E-2</v>
      </c>
      <c r="J202">
        <v>0.34808450499999999</v>
      </c>
      <c r="K202">
        <f>IF(C202=C201,K201+1,1)</f>
        <v>1</v>
      </c>
      <c r="L202">
        <f>MIN(((374/K202)*I202),L203)</f>
        <v>1.1679165410000001</v>
      </c>
      <c r="M202">
        <f>-LOG10(L202)</f>
        <v>-6.7411809319025198E-2</v>
      </c>
    </row>
    <row r="203" spans="1:13" x14ac:dyDescent="0.2">
      <c r="A203" t="s">
        <v>147</v>
      </c>
      <c r="B203" t="s">
        <v>10</v>
      </c>
      <c r="C203" t="s">
        <v>11</v>
      </c>
      <c r="D203">
        <v>-0.264737214</v>
      </c>
      <c r="E203" s="7">
        <f>ABS(D203)</f>
        <v>0.264737214</v>
      </c>
      <c r="F203">
        <v>0.15473796000000001</v>
      </c>
      <c r="G203">
        <v>146</v>
      </c>
      <c r="H203">
        <v>29</v>
      </c>
      <c r="I203">
        <v>8.9272679999999993E-2</v>
      </c>
      <c r="J203">
        <v>0.46317881599999999</v>
      </c>
      <c r="K203">
        <f>IF(C203=C202,K202+1,1)</f>
        <v>2</v>
      </c>
      <c r="L203">
        <f>MIN(((374/K203)*I203),L204)</f>
        <v>1.1679165410000001</v>
      </c>
      <c r="M203">
        <f>-LOG10(L203)</f>
        <v>-6.7411809319025198E-2</v>
      </c>
    </row>
    <row r="204" spans="1:13" x14ac:dyDescent="0.2">
      <c r="A204" t="s">
        <v>130</v>
      </c>
      <c r="B204" t="s">
        <v>10</v>
      </c>
      <c r="C204" t="s">
        <v>11</v>
      </c>
      <c r="D204">
        <v>0.26456304000000003</v>
      </c>
      <c r="E204" s="7">
        <f>ABS(D204)</f>
        <v>0.26456304000000003</v>
      </c>
      <c r="F204">
        <v>0.14570086700000001</v>
      </c>
      <c r="G204">
        <v>146</v>
      </c>
      <c r="H204">
        <v>26</v>
      </c>
      <c r="I204">
        <v>7.1496575000000007E-2</v>
      </c>
      <c r="J204">
        <v>0.41138029399999998</v>
      </c>
      <c r="K204">
        <f>IF(C204=C203,K203+1,1)</f>
        <v>3</v>
      </c>
      <c r="L204">
        <f>MIN(((374/K204)*I204),L205)</f>
        <v>1.1679165410000001</v>
      </c>
      <c r="M204">
        <f>-LOG10(L204)</f>
        <v>-6.7411809319025198E-2</v>
      </c>
    </row>
    <row r="205" spans="1:13" x14ac:dyDescent="0.2">
      <c r="A205" t="s">
        <v>125</v>
      </c>
      <c r="B205" t="s">
        <v>24</v>
      </c>
      <c r="C205" t="s">
        <v>25</v>
      </c>
      <c r="D205">
        <v>-0.26425267000000002</v>
      </c>
      <c r="E205" s="7">
        <f>ABS(D205)</f>
        <v>0.26425267000000002</v>
      </c>
      <c r="F205">
        <v>0.14161127100000001</v>
      </c>
      <c r="G205">
        <v>146</v>
      </c>
      <c r="H205">
        <v>17</v>
      </c>
      <c r="I205">
        <v>6.4083717999999998E-2</v>
      </c>
      <c r="J205">
        <v>0.38228547699999998</v>
      </c>
      <c r="K205">
        <f>IF(C205=C204,K204+1,1)</f>
        <v>1</v>
      </c>
      <c r="L205">
        <f>MIN(((374/K205)*I205),L206)</f>
        <v>1.1679165410000001</v>
      </c>
      <c r="M205">
        <f>-LOG10(L205)</f>
        <v>-6.7411809319025198E-2</v>
      </c>
    </row>
    <row r="206" spans="1:13" x14ac:dyDescent="0.2">
      <c r="A206" t="s">
        <v>42</v>
      </c>
      <c r="B206" t="s">
        <v>24</v>
      </c>
      <c r="C206" t="s">
        <v>25</v>
      </c>
      <c r="D206">
        <v>-0.26377452299999998</v>
      </c>
      <c r="E206" s="7">
        <f>ABS(D206)</f>
        <v>0.26377452299999998</v>
      </c>
      <c r="F206">
        <v>0.19684241299999999</v>
      </c>
      <c r="G206">
        <v>146</v>
      </c>
      <c r="H206">
        <v>63</v>
      </c>
      <c r="I206">
        <v>0.18236134300000001</v>
      </c>
      <c r="J206">
        <v>0.64955373599999999</v>
      </c>
      <c r="K206">
        <f>IF(C206=C205,K205+1,1)</f>
        <v>2</v>
      </c>
      <c r="L206">
        <f>MIN(((374/K206)*I206),L207)</f>
        <v>1.1679165410000001</v>
      </c>
      <c r="M206">
        <f>-LOG10(L206)</f>
        <v>-6.7411809319025198E-2</v>
      </c>
    </row>
    <row r="207" spans="1:13" x14ac:dyDescent="0.2">
      <c r="A207" t="s">
        <v>53</v>
      </c>
      <c r="B207" t="s">
        <v>24</v>
      </c>
      <c r="C207" t="s">
        <v>25</v>
      </c>
      <c r="D207">
        <v>-0.26344612299999998</v>
      </c>
      <c r="E207" s="7">
        <f>ABS(D207)</f>
        <v>0.26344612299999998</v>
      </c>
      <c r="F207">
        <v>0.135938542</v>
      </c>
      <c r="G207">
        <v>146</v>
      </c>
      <c r="H207">
        <v>23</v>
      </c>
      <c r="I207">
        <v>5.4596095999999997E-2</v>
      </c>
      <c r="J207">
        <v>0.35406327900000001</v>
      </c>
      <c r="K207">
        <f>IF(C207=C206,K206+1,1)</f>
        <v>3</v>
      </c>
      <c r="L207">
        <f>MIN(((374/K207)*I207),L208)</f>
        <v>1.1679165410000001</v>
      </c>
      <c r="M207">
        <f>-LOG10(L207)</f>
        <v>-6.7411809319025198E-2</v>
      </c>
    </row>
    <row r="208" spans="1:13" x14ac:dyDescent="0.2">
      <c r="A208" t="s">
        <v>138</v>
      </c>
      <c r="B208" t="s">
        <v>10</v>
      </c>
      <c r="C208" t="s">
        <v>11</v>
      </c>
      <c r="D208">
        <v>0.26222268799999998</v>
      </c>
      <c r="E208" s="7">
        <f>ABS(D208)</f>
        <v>0.26222268799999998</v>
      </c>
      <c r="F208">
        <v>0.18086342899999999</v>
      </c>
      <c r="G208">
        <v>146</v>
      </c>
      <c r="H208">
        <v>25</v>
      </c>
      <c r="I208">
        <v>0.14929335199999999</v>
      </c>
      <c r="J208">
        <v>0.58623310900000003</v>
      </c>
      <c r="K208">
        <f>IF(C208=C207,K207+1,1)</f>
        <v>1</v>
      </c>
      <c r="L208">
        <f>MIN(((374/K208)*I208),L209)</f>
        <v>1.1679165410000001</v>
      </c>
      <c r="M208">
        <f>-LOG10(L208)</f>
        <v>-6.7411809319025198E-2</v>
      </c>
    </row>
    <row r="209" spans="1:13" x14ac:dyDescent="0.2">
      <c r="A209" t="s">
        <v>234</v>
      </c>
      <c r="B209" t="s">
        <v>10</v>
      </c>
      <c r="C209" t="s">
        <v>11</v>
      </c>
      <c r="D209">
        <v>-0.25930957700000001</v>
      </c>
      <c r="E209" s="7">
        <f>ABS(D209)</f>
        <v>0.25930957700000001</v>
      </c>
      <c r="F209">
        <v>0.23571171299999999</v>
      </c>
      <c r="G209">
        <v>146</v>
      </c>
      <c r="H209">
        <v>47</v>
      </c>
      <c r="I209">
        <v>0.27313127999999998</v>
      </c>
      <c r="J209">
        <v>0.74403666300000004</v>
      </c>
      <c r="K209">
        <f>IF(C209=C208,K208+1,1)</f>
        <v>2</v>
      </c>
      <c r="L209">
        <f>MIN(((374/K209)*I209),L210)</f>
        <v>1.1679165410000001</v>
      </c>
      <c r="M209">
        <f>-LOG10(L209)</f>
        <v>-6.7411809319025198E-2</v>
      </c>
    </row>
    <row r="210" spans="1:13" x14ac:dyDescent="0.2">
      <c r="A210" t="s">
        <v>259</v>
      </c>
      <c r="B210" t="s">
        <v>10</v>
      </c>
      <c r="C210" t="s">
        <v>11</v>
      </c>
      <c r="D210">
        <v>-0.25916351900000001</v>
      </c>
      <c r="E210" s="7">
        <f>ABS(D210)</f>
        <v>0.25916351900000001</v>
      </c>
      <c r="F210">
        <v>0.259010988</v>
      </c>
      <c r="G210">
        <v>146</v>
      </c>
      <c r="H210">
        <v>68</v>
      </c>
      <c r="I210">
        <v>0.318715733</v>
      </c>
      <c r="J210">
        <v>0.75923365799999998</v>
      </c>
      <c r="K210">
        <f>IF(C210=C209,K209+1,1)</f>
        <v>3</v>
      </c>
      <c r="L210">
        <f>MIN(((374/K210)*I210),L211)</f>
        <v>1.1679165410000001</v>
      </c>
      <c r="M210">
        <f>-LOG10(L210)</f>
        <v>-6.7411809319025198E-2</v>
      </c>
    </row>
    <row r="211" spans="1:13" x14ac:dyDescent="0.2">
      <c r="A211" t="s">
        <v>107</v>
      </c>
      <c r="B211" t="s">
        <v>24</v>
      </c>
      <c r="C211" t="s">
        <v>25</v>
      </c>
      <c r="D211">
        <v>0.258193487</v>
      </c>
      <c r="E211" s="7">
        <f>ABS(D211)</f>
        <v>0.258193487</v>
      </c>
      <c r="F211">
        <v>0.16437961200000001</v>
      </c>
      <c r="G211">
        <v>146</v>
      </c>
      <c r="H211">
        <v>39</v>
      </c>
      <c r="I211">
        <v>0.118458967</v>
      </c>
      <c r="J211">
        <v>0.52556368399999998</v>
      </c>
      <c r="K211">
        <f>IF(C211=C210,K210+1,1)</f>
        <v>1</v>
      </c>
      <c r="L211">
        <f>MIN(((374/K211)*I211),L212)</f>
        <v>1.1679165410000001</v>
      </c>
      <c r="M211">
        <f>-LOG10(L211)</f>
        <v>-6.7411809319025198E-2</v>
      </c>
    </row>
    <row r="212" spans="1:13" x14ac:dyDescent="0.2">
      <c r="A212" t="s">
        <v>127</v>
      </c>
      <c r="B212" t="s">
        <v>24</v>
      </c>
      <c r="C212" t="s">
        <v>25</v>
      </c>
      <c r="D212">
        <v>-0.25817806300000001</v>
      </c>
      <c r="E212" s="7">
        <f>ABS(D212)</f>
        <v>0.25817806300000001</v>
      </c>
      <c r="F212">
        <v>0.194421975</v>
      </c>
      <c r="G212">
        <v>146</v>
      </c>
      <c r="H212">
        <v>118</v>
      </c>
      <c r="I212">
        <v>0.18631816100000001</v>
      </c>
      <c r="J212">
        <v>0.66050229699999996</v>
      </c>
      <c r="K212">
        <f>IF(C212=C211,K211+1,1)</f>
        <v>2</v>
      </c>
      <c r="L212">
        <f>MIN(((374/K212)*I212),L213)</f>
        <v>1.1679165410000001</v>
      </c>
      <c r="M212">
        <f>-LOG10(L212)</f>
        <v>-6.7411809319025198E-2</v>
      </c>
    </row>
    <row r="213" spans="1:13" x14ac:dyDescent="0.2">
      <c r="A213" t="s">
        <v>152</v>
      </c>
      <c r="B213" t="s">
        <v>24</v>
      </c>
      <c r="C213" t="s">
        <v>25</v>
      </c>
      <c r="D213">
        <v>0.25810192599999998</v>
      </c>
      <c r="E213" s="7">
        <f>ABS(D213)</f>
        <v>0.25810192599999998</v>
      </c>
      <c r="F213">
        <v>0.173314679</v>
      </c>
      <c r="G213">
        <v>146</v>
      </c>
      <c r="H213">
        <v>56</v>
      </c>
      <c r="I213">
        <v>0.138634281</v>
      </c>
      <c r="J213">
        <v>0.56977165900000004</v>
      </c>
      <c r="K213">
        <f>IF(C213=C212,K212+1,1)</f>
        <v>3</v>
      </c>
      <c r="L213">
        <f>MIN(((374/K213)*I213),L214)</f>
        <v>1.1679165410000001</v>
      </c>
      <c r="M213">
        <f>-LOG10(L213)</f>
        <v>-6.7411809319025198E-2</v>
      </c>
    </row>
    <row r="214" spans="1:13" x14ac:dyDescent="0.2">
      <c r="A214" t="s">
        <v>149</v>
      </c>
      <c r="B214" t="s">
        <v>10</v>
      </c>
      <c r="C214" t="s">
        <v>11</v>
      </c>
      <c r="D214">
        <v>0.25769066499999999</v>
      </c>
      <c r="E214" s="7">
        <f>ABS(D214)</f>
        <v>0.25769066499999999</v>
      </c>
      <c r="F214">
        <v>0.15307902700000001</v>
      </c>
      <c r="G214">
        <v>146</v>
      </c>
      <c r="H214">
        <v>16</v>
      </c>
      <c r="I214">
        <v>9.4482792999999995E-2</v>
      </c>
      <c r="J214">
        <v>0.46803397000000002</v>
      </c>
      <c r="K214">
        <f>IF(C214=C213,K213+1,1)</f>
        <v>1</v>
      </c>
      <c r="L214">
        <f>MIN(((374/K214)*I214),L215)</f>
        <v>1.1679165410000001</v>
      </c>
      <c r="M214">
        <f>-LOG10(L214)</f>
        <v>-6.7411809319025198E-2</v>
      </c>
    </row>
    <row r="215" spans="1:13" x14ac:dyDescent="0.2">
      <c r="A215" t="s">
        <v>161</v>
      </c>
      <c r="B215" t="s">
        <v>10</v>
      </c>
      <c r="C215" t="s">
        <v>11</v>
      </c>
      <c r="D215">
        <v>0.25734761099999998</v>
      </c>
      <c r="E215" s="7">
        <f>ABS(D215)</f>
        <v>0.25734761099999998</v>
      </c>
      <c r="F215">
        <v>0.164013618</v>
      </c>
      <c r="G215">
        <v>146</v>
      </c>
      <c r="H215">
        <v>30</v>
      </c>
      <c r="I215">
        <v>0.11884352099999999</v>
      </c>
      <c r="J215">
        <v>0.52556368399999998</v>
      </c>
      <c r="K215">
        <f>IF(C215=C214,K214+1,1)</f>
        <v>2</v>
      </c>
      <c r="L215">
        <f>MIN(((374/K215)*I215),L216)</f>
        <v>1.1679165410000001</v>
      </c>
      <c r="M215">
        <f>-LOG10(L215)</f>
        <v>-6.7411809319025198E-2</v>
      </c>
    </row>
    <row r="216" spans="1:13" x14ac:dyDescent="0.2">
      <c r="A216" t="s">
        <v>170</v>
      </c>
      <c r="B216" t="s">
        <v>10</v>
      </c>
      <c r="C216" t="s">
        <v>11</v>
      </c>
      <c r="D216">
        <v>0.25540362799999999</v>
      </c>
      <c r="E216" s="7">
        <f>ABS(D216)</f>
        <v>0.25540362799999999</v>
      </c>
      <c r="F216">
        <v>0.17240154599999999</v>
      </c>
      <c r="G216">
        <v>146</v>
      </c>
      <c r="H216">
        <v>29</v>
      </c>
      <c r="I216">
        <v>0.14068783700000001</v>
      </c>
      <c r="J216">
        <v>0.57201731300000003</v>
      </c>
      <c r="K216">
        <f>IF(C216=C215,K215+1,1)</f>
        <v>3</v>
      </c>
      <c r="L216">
        <f>MIN(((374/K216)*I216),L217)</f>
        <v>1.1679165410000001</v>
      </c>
      <c r="M216">
        <f>-LOG10(L216)</f>
        <v>-6.7411809319025198E-2</v>
      </c>
    </row>
    <row r="217" spans="1:13" x14ac:dyDescent="0.2">
      <c r="A217" t="s">
        <v>182</v>
      </c>
      <c r="B217" t="s">
        <v>24</v>
      </c>
      <c r="C217" t="s">
        <v>25</v>
      </c>
      <c r="D217">
        <v>-0.25503310200000001</v>
      </c>
      <c r="E217" s="7">
        <f>ABS(D217)</f>
        <v>0.25503310200000001</v>
      </c>
      <c r="F217">
        <v>0.18131828799999999</v>
      </c>
      <c r="G217">
        <v>146</v>
      </c>
      <c r="H217">
        <v>41</v>
      </c>
      <c r="I217">
        <v>0.16173055</v>
      </c>
      <c r="J217">
        <v>0.59944281600000004</v>
      </c>
      <c r="K217">
        <f>IF(C217=C216,K216+1,1)</f>
        <v>1</v>
      </c>
      <c r="L217">
        <f>MIN(((374/K217)*I217),L218)</f>
        <v>1.1679165410000001</v>
      </c>
      <c r="M217">
        <f>-LOG10(L217)</f>
        <v>-6.7411809319025198E-2</v>
      </c>
    </row>
    <row r="218" spans="1:13" x14ac:dyDescent="0.2">
      <c r="A218" t="s">
        <v>166</v>
      </c>
      <c r="B218" t="s">
        <v>10</v>
      </c>
      <c r="C218" t="s">
        <v>11</v>
      </c>
      <c r="D218">
        <v>0.254095442</v>
      </c>
      <c r="E218" s="7">
        <f>ABS(D218)</f>
        <v>0.254095442</v>
      </c>
      <c r="F218">
        <v>0.16791963100000001</v>
      </c>
      <c r="G218">
        <v>146</v>
      </c>
      <c r="H218">
        <v>28</v>
      </c>
      <c r="I218">
        <v>0.132436682</v>
      </c>
      <c r="J218">
        <v>0.556531675</v>
      </c>
      <c r="K218">
        <f>IF(C218=C217,K217+1,1)</f>
        <v>1</v>
      </c>
      <c r="L218">
        <f>MIN(((374/K218)*I218),L219)</f>
        <v>1.1679165410000001</v>
      </c>
      <c r="M218">
        <f>-LOG10(L218)</f>
        <v>-6.7411809319025198E-2</v>
      </c>
    </row>
    <row r="219" spans="1:13" x14ac:dyDescent="0.2">
      <c r="A219" t="s">
        <v>180</v>
      </c>
      <c r="B219" t="s">
        <v>24</v>
      </c>
      <c r="C219" t="s">
        <v>25</v>
      </c>
      <c r="D219">
        <v>-0.25361302400000002</v>
      </c>
      <c r="E219" s="7">
        <f>ABS(D219)</f>
        <v>0.25361302400000002</v>
      </c>
      <c r="F219">
        <v>0.26810934400000003</v>
      </c>
      <c r="G219">
        <v>146</v>
      </c>
      <c r="H219">
        <v>25</v>
      </c>
      <c r="I219">
        <v>0.34577924999999998</v>
      </c>
      <c r="J219">
        <v>0.77889163400000005</v>
      </c>
      <c r="K219">
        <f>IF(C219=C218,K218+1,1)</f>
        <v>1</v>
      </c>
      <c r="L219">
        <f>MIN(((374/K219)*I219),L220)</f>
        <v>1.1679165410000001</v>
      </c>
      <c r="M219">
        <f>-LOG10(L219)</f>
        <v>-6.7411809319025198E-2</v>
      </c>
    </row>
    <row r="220" spans="1:13" x14ac:dyDescent="0.2">
      <c r="A220" t="s">
        <v>54</v>
      </c>
      <c r="B220" t="s">
        <v>10</v>
      </c>
      <c r="C220" t="s">
        <v>11</v>
      </c>
      <c r="D220">
        <v>0.25149757900000003</v>
      </c>
      <c r="E220" s="7">
        <f>ABS(D220)</f>
        <v>0.25149757900000003</v>
      </c>
      <c r="F220">
        <v>0.23364397200000001</v>
      </c>
      <c r="G220">
        <v>146</v>
      </c>
      <c r="H220">
        <v>62</v>
      </c>
      <c r="I220">
        <v>0.28355491300000002</v>
      </c>
      <c r="J220">
        <v>0.74902001500000004</v>
      </c>
      <c r="K220">
        <f>IF(C220=C219,K219+1,1)</f>
        <v>1</v>
      </c>
      <c r="L220">
        <f>MIN(((374/K220)*I220),L221)</f>
        <v>1.1679165410000001</v>
      </c>
      <c r="M220">
        <f>-LOG10(L220)</f>
        <v>-6.7411809319025198E-2</v>
      </c>
    </row>
    <row r="221" spans="1:13" x14ac:dyDescent="0.2">
      <c r="A221" t="s">
        <v>224</v>
      </c>
      <c r="B221" t="s">
        <v>24</v>
      </c>
      <c r="C221" t="s">
        <v>25</v>
      </c>
      <c r="D221">
        <v>0.251243573</v>
      </c>
      <c r="E221" s="7">
        <f>ABS(D221)</f>
        <v>0.251243573</v>
      </c>
      <c r="F221">
        <v>0.21797377300000001</v>
      </c>
      <c r="G221">
        <v>146</v>
      </c>
      <c r="H221">
        <v>140</v>
      </c>
      <c r="I221">
        <v>0.25098456800000002</v>
      </c>
      <c r="J221">
        <v>0.716551363</v>
      </c>
      <c r="K221">
        <f>IF(C221=C220,K220+1,1)</f>
        <v>1</v>
      </c>
      <c r="L221">
        <f>MIN(((374/K221)*I221),L222)</f>
        <v>1.1679165410000001</v>
      </c>
      <c r="M221">
        <f>-LOG10(L221)</f>
        <v>-6.7411809319025198E-2</v>
      </c>
    </row>
    <row r="222" spans="1:13" x14ac:dyDescent="0.2">
      <c r="A222" t="s">
        <v>62</v>
      </c>
      <c r="B222" t="s">
        <v>10</v>
      </c>
      <c r="C222" t="s">
        <v>11</v>
      </c>
      <c r="D222">
        <v>-0.25033443100000002</v>
      </c>
      <c r="E222" s="7">
        <f>ABS(D222)</f>
        <v>0.25033443100000002</v>
      </c>
      <c r="F222">
        <v>0.15090803</v>
      </c>
      <c r="G222">
        <v>146</v>
      </c>
      <c r="H222">
        <v>18</v>
      </c>
      <c r="I222">
        <v>9.9336916999999997E-2</v>
      </c>
      <c r="J222">
        <v>0.48564714799999997</v>
      </c>
      <c r="K222">
        <f>IF(C222=C221,K221+1,1)</f>
        <v>1</v>
      </c>
      <c r="L222">
        <f>MIN(((374/K222)*I222),L223)</f>
        <v>1.1679165410000001</v>
      </c>
      <c r="M222">
        <f>-LOG10(L222)</f>
        <v>-6.7411809319025198E-2</v>
      </c>
    </row>
    <row r="223" spans="1:13" x14ac:dyDescent="0.2">
      <c r="A223" t="s">
        <v>135</v>
      </c>
      <c r="B223" t="s">
        <v>10</v>
      </c>
      <c r="C223" t="s">
        <v>11</v>
      </c>
      <c r="D223">
        <v>0.25004274900000001</v>
      </c>
      <c r="E223" s="7">
        <f>ABS(D223)</f>
        <v>0.25004274900000001</v>
      </c>
      <c r="F223">
        <v>0.140468012</v>
      </c>
      <c r="G223">
        <v>146</v>
      </c>
      <c r="H223">
        <v>30</v>
      </c>
      <c r="I223">
        <v>7.7188354000000001E-2</v>
      </c>
      <c r="J223">
        <v>0.42768065999999999</v>
      </c>
      <c r="K223">
        <f>IF(C223=C222,K222+1,1)</f>
        <v>2</v>
      </c>
      <c r="L223">
        <f>MIN(((374/K223)*I223),L224)</f>
        <v>1.1679165410000001</v>
      </c>
      <c r="M223">
        <f>-LOG10(L223)</f>
        <v>-6.7411809319025198E-2</v>
      </c>
    </row>
    <row r="224" spans="1:13" x14ac:dyDescent="0.2">
      <c r="A224" t="s">
        <v>254</v>
      </c>
      <c r="B224" t="s">
        <v>24</v>
      </c>
      <c r="C224" t="s">
        <v>25</v>
      </c>
      <c r="D224">
        <v>0.24912037400000001</v>
      </c>
      <c r="E224" s="7">
        <f>ABS(D224)</f>
        <v>0.24912037400000001</v>
      </c>
      <c r="F224">
        <v>0.241631649</v>
      </c>
      <c r="G224">
        <v>146</v>
      </c>
      <c r="H224">
        <v>94</v>
      </c>
      <c r="I224">
        <v>0.30428500800000002</v>
      </c>
      <c r="J224">
        <v>0.75236228000000005</v>
      </c>
      <c r="K224">
        <f>IF(C224=C223,K223+1,1)</f>
        <v>1</v>
      </c>
      <c r="L224">
        <f>MIN(((374/K224)*I224),L225)</f>
        <v>1.1679165410000001</v>
      </c>
      <c r="M224">
        <f>-LOG10(L224)</f>
        <v>-6.7411809319025198E-2</v>
      </c>
    </row>
    <row r="225" spans="1:13" x14ac:dyDescent="0.2">
      <c r="A225" t="s">
        <v>269</v>
      </c>
      <c r="B225" t="s">
        <v>24</v>
      </c>
      <c r="C225" t="s">
        <v>25</v>
      </c>
      <c r="D225">
        <v>0.24655429600000001</v>
      </c>
      <c r="E225" s="7">
        <f>ABS(D225)</f>
        <v>0.24655429600000001</v>
      </c>
      <c r="F225">
        <v>0.27689557999999997</v>
      </c>
      <c r="G225">
        <v>146</v>
      </c>
      <c r="H225">
        <v>22</v>
      </c>
      <c r="I225">
        <v>0.37473421600000001</v>
      </c>
      <c r="J225">
        <v>0.79251592199999998</v>
      </c>
      <c r="K225">
        <f>IF(C225=C224,K224+1,1)</f>
        <v>2</v>
      </c>
      <c r="L225">
        <f>MIN(((374/K225)*I225),L226)</f>
        <v>1.1679165410000001</v>
      </c>
      <c r="M225">
        <f>-LOG10(L225)</f>
        <v>-6.7411809319025198E-2</v>
      </c>
    </row>
    <row r="226" spans="1:13" x14ac:dyDescent="0.2">
      <c r="A226" t="s">
        <v>133</v>
      </c>
      <c r="B226" t="s">
        <v>10</v>
      </c>
      <c r="C226" t="s">
        <v>11</v>
      </c>
      <c r="D226">
        <v>0.24290325400000001</v>
      </c>
      <c r="E226" s="7">
        <f>ABS(D226)</f>
        <v>0.24290325400000001</v>
      </c>
      <c r="F226">
        <v>0.13595170400000001</v>
      </c>
      <c r="G226">
        <v>146</v>
      </c>
      <c r="H226">
        <v>34</v>
      </c>
      <c r="I226">
        <v>7.6106587000000003E-2</v>
      </c>
      <c r="J226">
        <v>0.42768065999999999</v>
      </c>
      <c r="K226">
        <f>IF(C226=C225,K225+1,1)</f>
        <v>1</v>
      </c>
      <c r="L226">
        <f>MIN(((374/K226)*I226),L227)</f>
        <v>1.1679165410000001</v>
      </c>
      <c r="M226">
        <f>-LOG10(L226)</f>
        <v>-6.7411809319025198E-2</v>
      </c>
    </row>
    <row r="227" spans="1:13" x14ac:dyDescent="0.2">
      <c r="A227" t="s">
        <v>35</v>
      </c>
      <c r="B227" t="s">
        <v>24</v>
      </c>
      <c r="C227" t="s">
        <v>25</v>
      </c>
      <c r="D227">
        <v>-0.24215491</v>
      </c>
      <c r="E227" s="7">
        <f>ABS(D227)</f>
        <v>0.24215491</v>
      </c>
      <c r="F227">
        <v>0.149792753</v>
      </c>
      <c r="G227">
        <v>146</v>
      </c>
      <c r="H227">
        <v>35</v>
      </c>
      <c r="I227">
        <v>0.108168677</v>
      </c>
      <c r="J227">
        <v>0.50254764100000004</v>
      </c>
      <c r="K227">
        <f>IF(C227=C226,K226+1,1)</f>
        <v>1</v>
      </c>
      <c r="L227">
        <f>MIN(((374/K227)*I227),L228)</f>
        <v>1.1679165410000001</v>
      </c>
      <c r="M227">
        <f>-LOG10(L227)</f>
        <v>-6.7411809319025198E-2</v>
      </c>
    </row>
    <row r="228" spans="1:13" x14ac:dyDescent="0.2">
      <c r="A228" t="s">
        <v>199</v>
      </c>
      <c r="B228" t="s">
        <v>24</v>
      </c>
      <c r="C228" t="s">
        <v>25</v>
      </c>
      <c r="D228">
        <v>0.241624599</v>
      </c>
      <c r="E228" s="7">
        <f>ABS(D228)</f>
        <v>0.241624599</v>
      </c>
      <c r="F228">
        <v>0.192619766</v>
      </c>
      <c r="G228">
        <v>146</v>
      </c>
      <c r="H228">
        <v>99</v>
      </c>
      <c r="I228">
        <v>0.21173869000000001</v>
      </c>
      <c r="J228">
        <v>0.69362273799999996</v>
      </c>
      <c r="K228">
        <f>IF(C228=C227,K227+1,1)</f>
        <v>2</v>
      </c>
      <c r="L228">
        <f>MIN(((374/K228)*I228),L229)</f>
        <v>1.1679165410000001</v>
      </c>
      <c r="M228">
        <f>-LOG10(L228)</f>
        <v>-6.7411809319025198E-2</v>
      </c>
    </row>
    <row r="229" spans="1:13" x14ac:dyDescent="0.2">
      <c r="A229" t="s">
        <v>83</v>
      </c>
      <c r="B229" t="s">
        <v>24</v>
      </c>
      <c r="C229" t="s">
        <v>25</v>
      </c>
      <c r="D229">
        <v>0.24010688299999999</v>
      </c>
      <c r="E229" s="7">
        <f>ABS(D229)</f>
        <v>0.24010688299999999</v>
      </c>
      <c r="F229">
        <v>0.18918499999999999</v>
      </c>
      <c r="G229">
        <v>146</v>
      </c>
      <c r="H229">
        <v>42</v>
      </c>
      <c r="I229">
        <v>0.20644420199999999</v>
      </c>
      <c r="J229">
        <v>0.69362273799999996</v>
      </c>
      <c r="K229">
        <f>IF(C229=C228,K228+1,1)</f>
        <v>3</v>
      </c>
      <c r="L229">
        <f>MIN(((374/K229)*I229),L230)</f>
        <v>1.1679165410000001</v>
      </c>
      <c r="M229">
        <f>-LOG10(L229)</f>
        <v>-6.7411809319025198E-2</v>
      </c>
    </row>
    <row r="230" spans="1:13" x14ac:dyDescent="0.2">
      <c r="A230" t="s">
        <v>141</v>
      </c>
      <c r="B230" t="s">
        <v>10</v>
      </c>
      <c r="C230" t="s">
        <v>11</v>
      </c>
      <c r="D230">
        <v>0.239810891</v>
      </c>
      <c r="E230" s="7">
        <f>ABS(D230)</f>
        <v>0.239810891</v>
      </c>
      <c r="F230">
        <v>0.13894515399999999</v>
      </c>
      <c r="G230">
        <v>146</v>
      </c>
      <c r="H230">
        <v>21</v>
      </c>
      <c r="I230">
        <v>8.6518284000000001E-2</v>
      </c>
      <c r="J230">
        <v>0.45574419799999999</v>
      </c>
      <c r="K230">
        <f>IF(C230=C229,K229+1,1)</f>
        <v>1</v>
      </c>
      <c r="L230">
        <f>MIN(((374/K230)*I230),L231)</f>
        <v>1.1679165410000001</v>
      </c>
      <c r="M230">
        <f>-LOG10(L230)</f>
        <v>-6.7411809319025198E-2</v>
      </c>
    </row>
    <row r="231" spans="1:13" x14ac:dyDescent="0.2">
      <c r="A231" t="s">
        <v>240</v>
      </c>
      <c r="B231" t="s">
        <v>10</v>
      </c>
      <c r="C231" t="s">
        <v>11</v>
      </c>
      <c r="D231">
        <v>-0.23973112399999999</v>
      </c>
      <c r="E231" s="7">
        <f>ABS(D231)</f>
        <v>0.23973112399999999</v>
      </c>
      <c r="F231">
        <v>0.22817625</v>
      </c>
      <c r="G231">
        <v>146</v>
      </c>
      <c r="H231">
        <v>32</v>
      </c>
      <c r="I231">
        <v>0.295196177</v>
      </c>
      <c r="J231">
        <v>0.74902001500000004</v>
      </c>
      <c r="K231">
        <f>IF(C231=C230,K230+1,1)</f>
        <v>2</v>
      </c>
      <c r="L231">
        <f>MIN(((374/K231)*I231),L232)</f>
        <v>1.1679165410000001</v>
      </c>
      <c r="M231">
        <f>-LOG10(L231)</f>
        <v>-6.7411809319025198E-2</v>
      </c>
    </row>
    <row r="232" spans="1:13" x14ac:dyDescent="0.2">
      <c r="A232" t="s">
        <v>227</v>
      </c>
      <c r="B232" t="s">
        <v>10</v>
      </c>
      <c r="C232" t="s">
        <v>11</v>
      </c>
      <c r="D232">
        <v>0.239422145</v>
      </c>
      <c r="E232" s="7">
        <f>ABS(D232)</f>
        <v>0.239422145</v>
      </c>
      <c r="F232">
        <v>0.21099394399999999</v>
      </c>
      <c r="G232">
        <v>146</v>
      </c>
      <c r="H232">
        <v>51</v>
      </c>
      <c r="I232">
        <v>0.25838499199999998</v>
      </c>
      <c r="J232">
        <v>0.73097919600000005</v>
      </c>
      <c r="K232">
        <f>IF(C232=C231,K231+1,1)</f>
        <v>3</v>
      </c>
      <c r="L232">
        <f>MIN(((374/K232)*I232),L233)</f>
        <v>1.1679165410000001</v>
      </c>
      <c r="M232">
        <f>-LOG10(L232)</f>
        <v>-6.7411809319025198E-2</v>
      </c>
    </row>
    <row r="233" spans="1:13" x14ac:dyDescent="0.2">
      <c r="A233" t="s">
        <v>66</v>
      </c>
      <c r="B233" t="s">
        <v>24</v>
      </c>
      <c r="C233" t="s">
        <v>25</v>
      </c>
      <c r="D233">
        <v>0.23921099700000001</v>
      </c>
      <c r="E233" s="7">
        <f>ABS(D233)</f>
        <v>0.23921099700000001</v>
      </c>
      <c r="F233">
        <v>0.110380254</v>
      </c>
      <c r="G233">
        <v>146</v>
      </c>
      <c r="H233">
        <v>22</v>
      </c>
      <c r="I233">
        <v>3.187897E-2</v>
      </c>
      <c r="J233">
        <v>0.27355598599999997</v>
      </c>
      <c r="K233">
        <f>IF(C233=C232,K232+1,1)</f>
        <v>1</v>
      </c>
      <c r="L233">
        <f>MIN(((374/K233)*I233),L234)</f>
        <v>1.1679165410000001</v>
      </c>
      <c r="M233">
        <f>-LOG10(L233)</f>
        <v>-6.7411809319025198E-2</v>
      </c>
    </row>
    <row r="234" spans="1:13" x14ac:dyDescent="0.2">
      <c r="A234" t="s">
        <v>95</v>
      </c>
      <c r="B234" t="s">
        <v>24</v>
      </c>
      <c r="C234" t="s">
        <v>25</v>
      </c>
      <c r="D234">
        <v>-0.238722292</v>
      </c>
      <c r="E234" s="7">
        <f>ABS(D234)</f>
        <v>0.238722292</v>
      </c>
      <c r="F234">
        <v>0.38495321999999998</v>
      </c>
      <c r="G234">
        <v>146</v>
      </c>
      <c r="H234">
        <v>67</v>
      </c>
      <c r="I234">
        <v>0.53615703100000001</v>
      </c>
      <c r="J234">
        <v>0.85640127899999996</v>
      </c>
      <c r="K234">
        <f>IF(C234=C233,K233+1,1)</f>
        <v>2</v>
      </c>
      <c r="L234">
        <f>MIN(((374/K234)*I234),L235)</f>
        <v>1.1679165410000001</v>
      </c>
      <c r="M234">
        <f>-LOG10(L234)</f>
        <v>-6.7411809319025198E-2</v>
      </c>
    </row>
    <row r="235" spans="1:13" x14ac:dyDescent="0.2">
      <c r="A235" t="s">
        <v>146</v>
      </c>
      <c r="B235" t="s">
        <v>24</v>
      </c>
      <c r="C235" t="s">
        <v>25</v>
      </c>
      <c r="D235">
        <v>0.23498095199999999</v>
      </c>
      <c r="E235" s="7">
        <f>ABS(D235)</f>
        <v>0.23498095199999999</v>
      </c>
      <c r="F235">
        <v>0.138082335</v>
      </c>
      <c r="G235">
        <v>146</v>
      </c>
      <c r="H235">
        <v>16</v>
      </c>
      <c r="I235">
        <v>9.0976273999999996E-2</v>
      </c>
      <c r="J235">
        <v>0.46317881599999999</v>
      </c>
      <c r="K235">
        <f>IF(C235=C234,K234+1,1)</f>
        <v>3</v>
      </c>
      <c r="L235">
        <f>MIN(((374/K235)*I235),L236)</f>
        <v>1.1679165410000001</v>
      </c>
      <c r="M235">
        <f>-LOG10(L235)</f>
        <v>-6.7411809319025198E-2</v>
      </c>
    </row>
    <row r="236" spans="1:13" x14ac:dyDescent="0.2">
      <c r="A236" t="s">
        <v>237</v>
      </c>
      <c r="B236" t="s">
        <v>24</v>
      </c>
      <c r="C236" t="s">
        <v>25</v>
      </c>
      <c r="D236">
        <v>0.23480590400000001</v>
      </c>
      <c r="E236" s="7">
        <f>ABS(D236)</f>
        <v>0.23480590400000001</v>
      </c>
      <c r="F236">
        <v>0.21480797400000001</v>
      </c>
      <c r="G236">
        <v>146</v>
      </c>
      <c r="H236">
        <v>42</v>
      </c>
      <c r="I236">
        <v>0.27618932600000001</v>
      </c>
      <c r="J236">
        <v>0.74581088799999995</v>
      </c>
      <c r="K236">
        <f>IF(C236=C235,K235+1,1)</f>
        <v>4</v>
      </c>
      <c r="L236">
        <f>MIN(((374/K236)*I236),L237)</f>
        <v>1.1679165410000001</v>
      </c>
      <c r="M236">
        <f>-LOG10(L236)</f>
        <v>-6.7411809319025198E-2</v>
      </c>
    </row>
    <row r="237" spans="1:13" x14ac:dyDescent="0.2">
      <c r="A237" t="s">
        <v>205</v>
      </c>
      <c r="B237" t="s">
        <v>10</v>
      </c>
      <c r="C237" t="s">
        <v>11</v>
      </c>
      <c r="D237">
        <v>-0.23374890200000001</v>
      </c>
      <c r="E237" s="7">
        <f>ABS(D237)</f>
        <v>0.23374890200000001</v>
      </c>
      <c r="F237">
        <v>0.38169525700000001</v>
      </c>
      <c r="G237">
        <v>146</v>
      </c>
      <c r="H237">
        <v>56</v>
      </c>
      <c r="I237">
        <v>0.54124792799999999</v>
      </c>
      <c r="J237">
        <v>0.85640127899999996</v>
      </c>
      <c r="K237">
        <f>IF(C237=C236,K236+1,1)</f>
        <v>1</v>
      </c>
      <c r="L237">
        <f>MIN(((374/K237)*I237),L238)</f>
        <v>1.1679165410000001</v>
      </c>
      <c r="M237">
        <f>-LOG10(L237)</f>
        <v>-6.7411809319025198E-2</v>
      </c>
    </row>
    <row r="238" spans="1:13" x14ac:dyDescent="0.2">
      <c r="A238" t="s">
        <v>155</v>
      </c>
      <c r="B238" t="s">
        <v>10</v>
      </c>
      <c r="C238" t="s">
        <v>11</v>
      </c>
      <c r="D238">
        <v>-0.23301593500000001</v>
      </c>
      <c r="E238" s="7">
        <f>ABS(D238)</f>
        <v>0.23301593500000001</v>
      </c>
      <c r="F238">
        <v>0.228315664</v>
      </c>
      <c r="G238">
        <v>146</v>
      </c>
      <c r="H238">
        <v>50</v>
      </c>
      <c r="I238">
        <v>0.309173792</v>
      </c>
      <c r="J238">
        <v>0.75322784700000001</v>
      </c>
      <c r="K238">
        <f>IF(C238=C237,K237+1,1)</f>
        <v>2</v>
      </c>
      <c r="L238">
        <f>MIN(((374/K238)*I238),L239)</f>
        <v>1.1679165410000001</v>
      </c>
      <c r="M238">
        <f>-LOG10(L238)</f>
        <v>-6.7411809319025198E-2</v>
      </c>
    </row>
    <row r="239" spans="1:13" x14ac:dyDescent="0.2">
      <c r="A239" t="s">
        <v>90</v>
      </c>
      <c r="B239" t="s">
        <v>24</v>
      </c>
      <c r="C239" t="s">
        <v>25</v>
      </c>
      <c r="D239">
        <v>-0.23269980400000001</v>
      </c>
      <c r="E239" s="7">
        <f>ABS(D239)</f>
        <v>0.23269980400000001</v>
      </c>
      <c r="F239">
        <v>0.140652259</v>
      </c>
      <c r="G239">
        <v>146</v>
      </c>
      <c r="H239">
        <v>20</v>
      </c>
      <c r="I239">
        <v>0.100232794</v>
      </c>
      <c r="J239">
        <v>0.486844997</v>
      </c>
      <c r="K239">
        <f>IF(C239=C238,K238+1,1)</f>
        <v>1</v>
      </c>
      <c r="L239">
        <f>MIN(((374/K239)*I239),L240)</f>
        <v>1.1679165410000001</v>
      </c>
      <c r="M239">
        <f>-LOG10(L239)</f>
        <v>-6.7411809319025198E-2</v>
      </c>
    </row>
    <row r="240" spans="1:13" x14ac:dyDescent="0.2">
      <c r="A240" t="s">
        <v>308</v>
      </c>
      <c r="B240" t="s">
        <v>10</v>
      </c>
      <c r="C240" t="s">
        <v>11</v>
      </c>
      <c r="D240">
        <v>-0.23031766000000001</v>
      </c>
      <c r="E240" s="7">
        <f>ABS(D240)</f>
        <v>0.23031766000000001</v>
      </c>
      <c r="F240">
        <v>0.32875257099999999</v>
      </c>
      <c r="G240">
        <v>146</v>
      </c>
      <c r="H240">
        <v>112</v>
      </c>
      <c r="I240">
        <v>0.48470314399999997</v>
      </c>
      <c r="J240">
        <v>0.85046335900000003</v>
      </c>
      <c r="K240">
        <f>IF(C240=C239,K239+1,1)</f>
        <v>1</v>
      </c>
      <c r="L240">
        <f>MIN(((374/K240)*I240),L241)</f>
        <v>1.1679165410000001</v>
      </c>
      <c r="M240">
        <f>-LOG10(L240)</f>
        <v>-6.7411809319025198E-2</v>
      </c>
    </row>
    <row r="241" spans="1:13" x14ac:dyDescent="0.2">
      <c r="A241" t="s">
        <v>285</v>
      </c>
      <c r="B241" t="s">
        <v>10</v>
      </c>
      <c r="C241" t="s">
        <v>11</v>
      </c>
      <c r="D241">
        <v>0.229508976</v>
      </c>
      <c r="E241" s="7">
        <f>ABS(D241)</f>
        <v>0.229508976</v>
      </c>
      <c r="F241">
        <v>0.273469876</v>
      </c>
      <c r="G241">
        <v>146</v>
      </c>
      <c r="H241">
        <v>117</v>
      </c>
      <c r="I241">
        <v>0.40273111</v>
      </c>
      <c r="J241">
        <v>0.82306795099999996</v>
      </c>
      <c r="K241">
        <f>IF(C241=C240,K240+1,1)</f>
        <v>2</v>
      </c>
      <c r="L241">
        <f>MIN(((374/K241)*I241),L242)</f>
        <v>1.1679165410000001</v>
      </c>
      <c r="M241">
        <f>-LOG10(L241)</f>
        <v>-6.7411809319025198E-2</v>
      </c>
    </row>
    <row r="242" spans="1:13" x14ac:dyDescent="0.2">
      <c r="A242" t="s">
        <v>12</v>
      </c>
      <c r="B242" t="s">
        <v>24</v>
      </c>
      <c r="C242" t="s">
        <v>25</v>
      </c>
      <c r="D242">
        <v>-0.22909555600000001</v>
      </c>
      <c r="E242" s="7">
        <f>ABS(D242)</f>
        <v>0.22909555600000001</v>
      </c>
      <c r="F242">
        <v>0.30842526399999998</v>
      </c>
      <c r="G242">
        <v>146</v>
      </c>
      <c r="H242">
        <v>94</v>
      </c>
      <c r="I242">
        <v>0.458826609</v>
      </c>
      <c r="J242">
        <v>0.84421080100000001</v>
      </c>
      <c r="K242">
        <f>IF(C242=C241,K241+1,1)</f>
        <v>1</v>
      </c>
      <c r="L242">
        <f>MIN(((374/K242)*I242),L243)</f>
        <v>1.1679165410000001</v>
      </c>
      <c r="M242">
        <f>-LOG10(L242)</f>
        <v>-6.7411809319025198E-2</v>
      </c>
    </row>
    <row r="243" spans="1:13" x14ac:dyDescent="0.2">
      <c r="A243" t="s">
        <v>226</v>
      </c>
      <c r="B243" t="s">
        <v>10</v>
      </c>
      <c r="C243" t="s">
        <v>11</v>
      </c>
      <c r="D243">
        <v>0.22833234499999999</v>
      </c>
      <c r="E243" s="7">
        <f>ABS(D243)</f>
        <v>0.22833234499999999</v>
      </c>
      <c r="F243">
        <v>0.201469326</v>
      </c>
      <c r="G243">
        <v>146</v>
      </c>
      <c r="H243">
        <v>35</v>
      </c>
      <c r="I243">
        <v>0.25896990199999997</v>
      </c>
      <c r="J243">
        <v>0.73097919600000005</v>
      </c>
      <c r="K243">
        <f>IF(C243=C242,K242+1,1)</f>
        <v>1</v>
      </c>
      <c r="L243">
        <f>MIN(((374/K243)*I243),L244)</f>
        <v>1.1679165410000001</v>
      </c>
      <c r="M243">
        <f>-LOG10(L243)</f>
        <v>-6.7411809319025198E-2</v>
      </c>
    </row>
    <row r="244" spans="1:13" x14ac:dyDescent="0.2">
      <c r="A244" t="s">
        <v>48</v>
      </c>
      <c r="B244" t="s">
        <v>10</v>
      </c>
      <c r="C244" t="s">
        <v>11</v>
      </c>
      <c r="D244">
        <v>-0.22694022799999999</v>
      </c>
      <c r="E244" s="7">
        <f>ABS(D244)</f>
        <v>0.22694022799999999</v>
      </c>
      <c r="F244">
        <v>8.1759589999999993E-2</v>
      </c>
      <c r="G244">
        <v>146</v>
      </c>
      <c r="H244">
        <v>15</v>
      </c>
      <c r="I244">
        <v>6.2455430000000001E-3</v>
      </c>
      <c r="J244">
        <v>0.12968823400000001</v>
      </c>
      <c r="K244">
        <f>IF(C244=C243,K243+1,1)</f>
        <v>2</v>
      </c>
      <c r="L244">
        <f>MIN(((374/K244)*I244),L245)</f>
        <v>1.1679165410000001</v>
      </c>
      <c r="M244">
        <f>-LOG10(L244)</f>
        <v>-6.7411809319025198E-2</v>
      </c>
    </row>
    <row r="245" spans="1:13" x14ac:dyDescent="0.2">
      <c r="A245" t="s">
        <v>250</v>
      </c>
      <c r="B245" t="s">
        <v>24</v>
      </c>
      <c r="C245" t="s">
        <v>25</v>
      </c>
      <c r="D245">
        <v>-0.22680089</v>
      </c>
      <c r="E245" s="7">
        <f>ABS(D245)</f>
        <v>0.22680089</v>
      </c>
      <c r="F245">
        <v>0.220888</v>
      </c>
      <c r="G245">
        <v>146</v>
      </c>
      <c r="H245">
        <v>48</v>
      </c>
      <c r="I245">
        <v>0.30626305799999998</v>
      </c>
      <c r="J245">
        <v>0.75236228000000005</v>
      </c>
      <c r="K245">
        <f>IF(C245=C244,K244+1,1)</f>
        <v>1</v>
      </c>
      <c r="L245">
        <f>MIN(((374/K245)*I245),L246)</f>
        <v>2.734189271</v>
      </c>
      <c r="M245">
        <f>-LOG10(L245)</f>
        <v>-0.43682857479132892</v>
      </c>
    </row>
    <row r="246" spans="1:13" x14ac:dyDescent="0.2">
      <c r="A246" t="s">
        <v>106</v>
      </c>
      <c r="B246" t="s">
        <v>10</v>
      </c>
      <c r="C246" t="s">
        <v>11</v>
      </c>
      <c r="D246">
        <v>0.22631549200000001</v>
      </c>
      <c r="E246" s="7">
        <f>ABS(D246)</f>
        <v>0.22631549200000001</v>
      </c>
      <c r="F246">
        <v>0.113070569</v>
      </c>
      <c r="G246">
        <v>146</v>
      </c>
      <c r="H246">
        <v>19</v>
      </c>
      <c r="I246">
        <v>4.7225923000000003E-2</v>
      </c>
      <c r="J246">
        <v>0.33966337200000002</v>
      </c>
      <c r="K246">
        <f>IF(C246=C245,K245+1,1)</f>
        <v>1</v>
      </c>
      <c r="L246">
        <f>MIN(((374/K246)*I246),L247)</f>
        <v>2.734189271</v>
      </c>
      <c r="M246">
        <f>-LOG10(L246)</f>
        <v>-0.43682857479132892</v>
      </c>
    </row>
    <row r="247" spans="1:13" x14ac:dyDescent="0.2">
      <c r="A247" t="s">
        <v>244</v>
      </c>
      <c r="B247" t="s">
        <v>10</v>
      </c>
      <c r="C247" t="s">
        <v>11</v>
      </c>
      <c r="D247">
        <v>-0.22518564099999999</v>
      </c>
      <c r="E247" s="7">
        <f>ABS(D247)</f>
        <v>0.22518564099999999</v>
      </c>
      <c r="F247">
        <v>0.212364153</v>
      </c>
      <c r="G247">
        <v>146</v>
      </c>
      <c r="H247">
        <v>85</v>
      </c>
      <c r="I247">
        <v>0.29076171200000001</v>
      </c>
      <c r="J247">
        <v>0.74902001500000004</v>
      </c>
      <c r="K247">
        <f>IF(C247=C246,K246+1,1)</f>
        <v>2</v>
      </c>
      <c r="L247">
        <f>MIN(((374/K247)*I247),L248)</f>
        <v>2.734189271</v>
      </c>
      <c r="M247">
        <f>-LOG10(L247)</f>
        <v>-0.43682857479132892</v>
      </c>
    </row>
    <row r="248" spans="1:13" x14ac:dyDescent="0.2">
      <c r="A248" t="s">
        <v>109</v>
      </c>
      <c r="B248" t="s">
        <v>24</v>
      </c>
      <c r="C248" t="s">
        <v>25</v>
      </c>
      <c r="D248">
        <v>0.223503112</v>
      </c>
      <c r="E248" s="7">
        <f>ABS(D248)</f>
        <v>0.223503112</v>
      </c>
      <c r="F248">
        <v>0.24964055299999999</v>
      </c>
      <c r="G248">
        <v>146</v>
      </c>
      <c r="H248">
        <v>82</v>
      </c>
      <c r="I248">
        <v>0.37213143999999998</v>
      </c>
      <c r="J248">
        <v>0.79251592199999998</v>
      </c>
      <c r="K248">
        <f>IF(C248=C247,K247+1,1)</f>
        <v>1</v>
      </c>
      <c r="L248">
        <f>MIN(((374/K248)*I248),L249)</f>
        <v>2.734189271</v>
      </c>
      <c r="M248">
        <f>-LOG10(L248)</f>
        <v>-0.43682857479132892</v>
      </c>
    </row>
    <row r="249" spans="1:13" x14ac:dyDescent="0.2">
      <c r="A249" t="s">
        <v>38</v>
      </c>
      <c r="B249" t="s">
        <v>24</v>
      </c>
      <c r="C249" t="s">
        <v>25</v>
      </c>
      <c r="D249">
        <v>-0.22248484900000001</v>
      </c>
      <c r="E249" s="7">
        <f>ABS(D249)</f>
        <v>0.22248484900000001</v>
      </c>
      <c r="F249">
        <v>0.24370819699999999</v>
      </c>
      <c r="G249">
        <v>146</v>
      </c>
      <c r="H249">
        <v>30</v>
      </c>
      <c r="I249">
        <v>0.36282384899999998</v>
      </c>
      <c r="J249">
        <v>0.78893092600000003</v>
      </c>
      <c r="K249">
        <f>IF(C249=C248,K248+1,1)</f>
        <v>2</v>
      </c>
      <c r="L249">
        <f>MIN(((374/K249)*I249),L250)</f>
        <v>2.734189271</v>
      </c>
      <c r="M249">
        <f>-LOG10(L249)</f>
        <v>-0.43682857479132892</v>
      </c>
    </row>
    <row r="250" spans="1:13" x14ac:dyDescent="0.2">
      <c r="A250" t="s">
        <v>58</v>
      </c>
      <c r="B250" t="s">
        <v>10</v>
      </c>
      <c r="C250" t="s">
        <v>11</v>
      </c>
      <c r="D250">
        <v>0.22219314700000001</v>
      </c>
      <c r="E250" s="7">
        <f>ABS(D250)</f>
        <v>0.22219314700000001</v>
      </c>
      <c r="F250">
        <v>8.2897267999999996E-2</v>
      </c>
      <c r="G250">
        <v>146</v>
      </c>
      <c r="H250">
        <v>15</v>
      </c>
      <c r="I250">
        <v>8.2184900000000002E-3</v>
      </c>
      <c r="J250">
        <v>0.13412930000000001</v>
      </c>
      <c r="K250">
        <f>IF(C250=C249,K249+1,1)</f>
        <v>1</v>
      </c>
      <c r="L250">
        <f>MIN(((374/K250)*I250),L251)</f>
        <v>2.734189271</v>
      </c>
      <c r="M250">
        <f>-LOG10(L250)</f>
        <v>-0.43682857479132892</v>
      </c>
    </row>
    <row r="251" spans="1:13" x14ac:dyDescent="0.2">
      <c r="A251" t="s">
        <v>249</v>
      </c>
      <c r="B251" t="s">
        <v>10</v>
      </c>
      <c r="C251" t="s">
        <v>11</v>
      </c>
      <c r="D251">
        <v>0.222103261</v>
      </c>
      <c r="E251" s="7">
        <f>ABS(D251)</f>
        <v>0.222103261</v>
      </c>
      <c r="F251">
        <v>0.213092426</v>
      </c>
      <c r="G251">
        <v>146</v>
      </c>
      <c r="H251">
        <v>17</v>
      </c>
      <c r="I251">
        <v>0.29903797500000001</v>
      </c>
      <c r="J251">
        <v>0.75060538700000001</v>
      </c>
      <c r="K251">
        <f>IF(C251=C250,K250+1,1)</f>
        <v>2</v>
      </c>
      <c r="L251">
        <f>MIN(((374/K251)*I251),L252)</f>
        <v>2.734189271</v>
      </c>
      <c r="M251">
        <f>-LOG10(L251)</f>
        <v>-0.43682857479132892</v>
      </c>
    </row>
    <row r="252" spans="1:13" x14ac:dyDescent="0.2">
      <c r="A252" t="s">
        <v>164</v>
      </c>
      <c r="B252" t="s">
        <v>10</v>
      </c>
      <c r="C252" t="s">
        <v>11</v>
      </c>
      <c r="D252">
        <v>0.22004832899999999</v>
      </c>
      <c r="E252" s="7">
        <f>ABS(D252)</f>
        <v>0.22004832899999999</v>
      </c>
      <c r="F252">
        <v>0.143133807</v>
      </c>
      <c r="G252">
        <v>146</v>
      </c>
      <c r="H252">
        <v>34</v>
      </c>
      <c r="I252">
        <v>0.126414684</v>
      </c>
      <c r="J252">
        <v>0.54033247600000001</v>
      </c>
      <c r="K252">
        <f>IF(C252=C251,K251+1,1)</f>
        <v>3</v>
      </c>
      <c r="L252">
        <f>MIN(((374/K252)*I252),L253)</f>
        <v>2.734189271</v>
      </c>
      <c r="M252">
        <f>-LOG10(L252)</f>
        <v>-0.43682857479132892</v>
      </c>
    </row>
    <row r="253" spans="1:13" x14ac:dyDescent="0.2">
      <c r="A253" t="s">
        <v>199</v>
      </c>
      <c r="B253" t="s">
        <v>10</v>
      </c>
      <c r="C253" t="s">
        <v>11</v>
      </c>
      <c r="D253">
        <v>0.219702285</v>
      </c>
      <c r="E253" s="7">
        <f>ABS(D253)</f>
        <v>0.219702285</v>
      </c>
      <c r="F253">
        <v>0.206073013</v>
      </c>
      <c r="G253">
        <v>146</v>
      </c>
      <c r="H253">
        <v>99</v>
      </c>
      <c r="I253">
        <v>0.28815795100000002</v>
      </c>
      <c r="J253">
        <v>0.74902001500000004</v>
      </c>
      <c r="K253">
        <f>IF(C253=C252,K252+1,1)</f>
        <v>4</v>
      </c>
      <c r="L253">
        <f>MIN(((374/K253)*I253),L254)</f>
        <v>2.734189271</v>
      </c>
      <c r="M253">
        <f>-LOG10(L253)</f>
        <v>-0.43682857479132892</v>
      </c>
    </row>
    <row r="254" spans="1:13" x14ac:dyDescent="0.2">
      <c r="A254" t="s">
        <v>120</v>
      </c>
      <c r="B254" t="s">
        <v>10</v>
      </c>
      <c r="C254" t="s">
        <v>11</v>
      </c>
      <c r="D254">
        <v>0.21966535100000001</v>
      </c>
      <c r="E254" s="7">
        <f>ABS(D254)</f>
        <v>0.21966535100000001</v>
      </c>
      <c r="F254">
        <v>0.11520708</v>
      </c>
      <c r="G254">
        <v>146</v>
      </c>
      <c r="H254">
        <v>19</v>
      </c>
      <c r="I254">
        <v>5.8565234000000001E-2</v>
      </c>
      <c r="J254">
        <v>0.36505662700000002</v>
      </c>
      <c r="K254">
        <f>IF(C254=C253,K253+1,1)</f>
        <v>5</v>
      </c>
      <c r="L254">
        <f>MIN(((374/K254)*I254),L255)</f>
        <v>2.734189271</v>
      </c>
      <c r="M254">
        <f>-LOG10(L254)</f>
        <v>-0.43682857479132892</v>
      </c>
    </row>
    <row r="255" spans="1:13" x14ac:dyDescent="0.2">
      <c r="A255" t="s">
        <v>308</v>
      </c>
      <c r="B255" t="s">
        <v>24</v>
      </c>
      <c r="C255" t="s">
        <v>25</v>
      </c>
      <c r="D255">
        <v>-0.218429978</v>
      </c>
      <c r="E255" s="7">
        <f>ABS(D255)</f>
        <v>0.218429978</v>
      </c>
      <c r="F255">
        <v>0.307290324</v>
      </c>
      <c r="G255">
        <v>146</v>
      </c>
      <c r="H255">
        <v>112</v>
      </c>
      <c r="I255">
        <v>0.47834977699999998</v>
      </c>
      <c r="J255">
        <v>0.84421080100000001</v>
      </c>
      <c r="K255">
        <f>IF(C255=C254,K254+1,1)</f>
        <v>1</v>
      </c>
      <c r="L255">
        <f>MIN(((374/K255)*I255),L256)</f>
        <v>2.734189271</v>
      </c>
      <c r="M255">
        <f>-LOG10(L255)</f>
        <v>-0.43682857479132892</v>
      </c>
    </row>
    <row r="256" spans="1:13" x14ac:dyDescent="0.2">
      <c r="A256" t="s">
        <v>185</v>
      </c>
      <c r="B256" t="s">
        <v>24</v>
      </c>
      <c r="C256" t="s">
        <v>25</v>
      </c>
      <c r="D256">
        <v>-0.21666654900000001</v>
      </c>
      <c r="E256" s="7">
        <f>ABS(D256)</f>
        <v>0.21666654900000001</v>
      </c>
      <c r="F256">
        <v>0.157533801</v>
      </c>
      <c r="G256">
        <v>146</v>
      </c>
      <c r="H256">
        <v>49</v>
      </c>
      <c r="I256">
        <v>0.17116891100000001</v>
      </c>
      <c r="J256">
        <v>0.62152594699999997</v>
      </c>
      <c r="K256">
        <f>IF(C256=C255,K255+1,1)</f>
        <v>2</v>
      </c>
      <c r="L256">
        <f>MIN(((374/K256)*I256),L257)</f>
        <v>2.734189271</v>
      </c>
      <c r="M256">
        <f>-LOG10(L256)</f>
        <v>-0.43682857479132892</v>
      </c>
    </row>
    <row r="257" spans="1:13" x14ac:dyDescent="0.2">
      <c r="A257" t="s">
        <v>97</v>
      </c>
      <c r="B257" t="s">
        <v>24</v>
      </c>
      <c r="C257" t="s">
        <v>25</v>
      </c>
      <c r="D257">
        <v>-0.21630350400000001</v>
      </c>
      <c r="E257" s="7">
        <f>ABS(D257)</f>
        <v>0.21630350400000001</v>
      </c>
      <c r="F257">
        <v>0.10097930400000001</v>
      </c>
      <c r="G257">
        <v>146</v>
      </c>
      <c r="H257">
        <v>20</v>
      </c>
      <c r="I257">
        <v>3.3882697000000003E-2</v>
      </c>
      <c r="J257">
        <v>0.284540601</v>
      </c>
      <c r="K257">
        <f>IF(C257=C256,K256+1,1)</f>
        <v>3</v>
      </c>
      <c r="L257">
        <f>MIN(((374/K257)*I257),L258)</f>
        <v>2.734189271</v>
      </c>
      <c r="M257">
        <f>-LOG10(L257)</f>
        <v>-0.43682857479132892</v>
      </c>
    </row>
    <row r="258" spans="1:13" x14ac:dyDescent="0.2">
      <c r="A258" t="s">
        <v>251</v>
      </c>
      <c r="B258" t="s">
        <v>24</v>
      </c>
      <c r="C258" t="s">
        <v>25</v>
      </c>
      <c r="D258">
        <v>-0.21565885200000001</v>
      </c>
      <c r="E258" s="7">
        <f>ABS(D258)</f>
        <v>0.21565885200000001</v>
      </c>
      <c r="F258">
        <v>0.278537806</v>
      </c>
      <c r="G258">
        <v>146</v>
      </c>
      <c r="H258">
        <v>113</v>
      </c>
      <c r="I258">
        <v>0.44005915600000001</v>
      </c>
      <c r="J258">
        <v>0.84185229800000005</v>
      </c>
      <c r="K258">
        <f>IF(C258=C257,K257+1,1)</f>
        <v>4</v>
      </c>
      <c r="L258">
        <f>MIN(((374/K258)*I258),L259)</f>
        <v>2.734189271</v>
      </c>
      <c r="M258">
        <f>-LOG10(L258)</f>
        <v>-0.43682857479132892</v>
      </c>
    </row>
    <row r="259" spans="1:13" x14ac:dyDescent="0.2">
      <c r="A259" t="s">
        <v>322</v>
      </c>
      <c r="B259" t="s">
        <v>24</v>
      </c>
      <c r="C259" t="s">
        <v>25</v>
      </c>
      <c r="D259">
        <v>0.21487668800000001</v>
      </c>
      <c r="E259" s="7">
        <f>ABS(D259)</f>
        <v>0.21487668800000001</v>
      </c>
      <c r="F259">
        <v>0.33373667600000001</v>
      </c>
      <c r="G259">
        <v>146</v>
      </c>
      <c r="H259">
        <v>96</v>
      </c>
      <c r="I259">
        <v>0.52070336500000003</v>
      </c>
      <c r="J259">
        <v>0.85640127899999996</v>
      </c>
      <c r="K259">
        <f>IF(C259=C258,K258+1,1)</f>
        <v>5</v>
      </c>
      <c r="L259">
        <f>MIN(((374/K259)*I259),L260)</f>
        <v>2.734189271</v>
      </c>
      <c r="M259">
        <f>-LOG10(L259)</f>
        <v>-0.43682857479132892</v>
      </c>
    </row>
    <row r="260" spans="1:13" x14ac:dyDescent="0.2">
      <c r="A260" t="s">
        <v>159</v>
      </c>
      <c r="B260" t="s">
        <v>10</v>
      </c>
      <c r="C260" t="s">
        <v>11</v>
      </c>
      <c r="D260">
        <v>0.214634137</v>
      </c>
      <c r="E260" s="7">
        <f>ABS(D260)</f>
        <v>0.214634137</v>
      </c>
      <c r="F260">
        <v>0.136640765</v>
      </c>
      <c r="G260">
        <v>146</v>
      </c>
      <c r="H260">
        <v>30</v>
      </c>
      <c r="I260">
        <v>0.118441164</v>
      </c>
      <c r="J260">
        <v>0.52556368399999998</v>
      </c>
      <c r="K260">
        <f>IF(C260=C259,K259+1,1)</f>
        <v>1</v>
      </c>
      <c r="L260">
        <f>MIN(((374/K260)*I260),L261)</f>
        <v>2.734189271</v>
      </c>
      <c r="M260">
        <f>-LOG10(L260)</f>
        <v>-0.43682857479132892</v>
      </c>
    </row>
    <row r="261" spans="1:13" x14ac:dyDescent="0.2">
      <c r="A261" t="s">
        <v>136</v>
      </c>
      <c r="B261" t="s">
        <v>24</v>
      </c>
      <c r="C261" t="s">
        <v>25</v>
      </c>
      <c r="D261">
        <v>0.214156452</v>
      </c>
      <c r="E261" s="7">
        <f>ABS(D261)</f>
        <v>0.214156452</v>
      </c>
      <c r="F261">
        <v>0.121318562</v>
      </c>
      <c r="G261">
        <v>146</v>
      </c>
      <c r="H261">
        <v>20</v>
      </c>
      <c r="I261">
        <v>7.9657848000000003E-2</v>
      </c>
      <c r="J261">
        <v>0.43176862700000002</v>
      </c>
      <c r="K261">
        <f>IF(C261=C260,K260+1,1)</f>
        <v>1</v>
      </c>
      <c r="L261">
        <f>MIN(((374/K261)*I261),L262)</f>
        <v>2.734189271</v>
      </c>
      <c r="M261">
        <f>-LOG10(L261)</f>
        <v>-0.43682857479132892</v>
      </c>
    </row>
    <row r="262" spans="1:13" x14ac:dyDescent="0.2">
      <c r="A262" t="s">
        <v>49</v>
      </c>
      <c r="B262" t="s">
        <v>24</v>
      </c>
      <c r="C262" t="s">
        <v>25</v>
      </c>
      <c r="D262">
        <v>-0.21393601900000001</v>
      </c>
      <c r="E262" s="7">
        <f>ABS(D262)</f>
        <v>0.21393601900000001</v>
      </c>
      <c r="F262">
        <v>0.20456136799999999</v>
      </c>
      <c r="G262">
        <v>146</v>
      </c>
      <c r="H262">
        <v>116</v>
      </c>
      <c r="I262">
        <v>0.29740500600000003</v>
      </c>
      <c r="J262">
        <v>0.74902001500000004</v>
      </c>
      <c r="K262">
        <f>IF(C262=C261,K261+1,1)</f>
        <v>2</v>
      </c>
      <c r="L262">
        <f>MIN(((374/K262)*I262),L263)</f>
        <v>2.734189271</v>
      </c>
      <c r="M262">
        <f>-LOG10(L262)</f>
        <v>-0.43682857479132892</v>
      </c>
    </row>
    <row r="263" spans="1:13" x14ac:dyDescent="0.2">
      <c r="A263" t="s">
        <v>106</v>
      </c>
      <c r="B263" t="s">
        <v>24</v>
      </c>
      <c r="C263" t="s">
        <v>25</v>
      </c>
      <c r="D263">
        <v>0.21252928099999999</v>
      </c>
      <c r="E263" s="7">
        <f>ABS(D263)</f>
        <v>0.21252928099999999</v>
      </c>
      <c r="F263">
        <v>0.105688882</v>
      </c>
      <c r="G263">
        <v>146</v>
      </c>
      <c r="H263">
        <v>19</v>
      </c>
      <c r="I263">
        <v>4.6216206000000003E-2</v>
      </c>
      <c r="J263">
        <v>0.338918842</v>
      </c>
      <c r="K263">
        <f>IF(C263=C262,K262+1,1)</f>
        <v>3</v>
      </c>
      <c r="L263">
        <f>MIN(((374/K263)*I263),L264)</f>
        <v>2.734189271</v>
      </c>
      <c r="M263">
        <f>-LOG10(L263)</f>
        <v>-0.43682857479132892</v>
      </c>
    </row>
    <row r="264" spans="1:13" x14ac:dyDescent="0.2">
      <c r="A264" t="s">
        <v>221</v>
      </c>
      <c r="B264" t="s">
        <v>10</v>
      </c>
      <c r="C264" t="s">
        <v>11</v>
      </c>
      <c r="D264">
        <v>-0.21009018800000001</v>
      </c>
      <c r="E264" s="7">
        <f>ABS(D264)</f>
        <v>0.21009018800000001</v>
      </c>
      <c r="F264">
        <v>0.278891903</v>
      </c>
      <c r="G264">
        <v>146</v>
      </c>
      <c r="H264">
        <v>49</v>
      </c>
      <c r="I264">
        <v>0.45250612699999998</v>
      </c>
      <c r="J264">
        <v>0.84421080100000001</v>
      </c>
      <c r="K264">
        <f>IF(C264=C263,K263+1,1)</f>
        <v>1</v>
      </c>
      <c r="L264">
        <f>MIN(((374/K264)*I264),L265)</f>
        <v>2.734189271</v>
      </c>
      <c r="M264">
        <f>-LOG10(L264)</f>
        <v>-0.43682857479132892</v>
      </c>
    </row>
    <row r="265" spans="1:13" x14ac:dyDescent="0.2">
      <c r="A265" t="s">
        <v>80</v>
      </c>
      <c r="B265" t="s">
        <v>10</v>
      </c>
      <c r="C265" t="s">
        <v>11</v>
      </c>
      <c r="D265">
        <v>0.20989653</v>
      </c>
      <c r="E265" s="7">
        <f>ABS(D265)</f>
        <v>0.20989653</v>
      </c>
      <c r="F265">
        <v>9.0538056000000006E-2</v>
      </c>
      <c r="G265">
        <v>146</v>
      </c>
      <c r="H265">
        <v>15</v>
      </c>
      <c r="I265">
        <v>2.1849550999999998E-2</v>
      </c>
      <c r="J265">
        <v>0.23347805399999999</v>
      </c>
      <c r="K265">
        <f>IF(C265=C264,K264+1,1)</f>
        <v>2</v>
      </c>
      <c r="L265">
        <f>MIN(((374/K265)*I265),L266)</f>
        <v>2.734189271</v>
      </c>
      <c r="M265">
        <f>-LOG10(L265)</f>
        <v>-0.43682857479132892</v>
      </c>
    </row>
    <row r="266" spans="1:13" x14ac:dyDescent="0.2">
      <c r="A266" t="s">
        <v>102</v>
      </c>
      <c r="B266" t="s">
        <v>24</v>
      </c>
      <c r="C266" t="s">
        <v>25</v>
      </c>
      <c r="D266">
        <v>-0.20978208200000001</v>
      </c>
      <c r="E266" s="7">
        <f>ABS(D266)</f>
        <v>0.20978208200000001</v>
      </c>
      <c r="F266">
        <v>0.27503582199999999</v>
      </c>
      <c r="G266">
        <v>146</v>
      </c>
      <c r="H266">
        <v>68</v>
      </c>
      <c r="I266">
        <v>0.44687211599999999</v>
      </c>
      <c r="J266">
        <v>0.84421080100000001</v>
      </c>
      <c r="K266">
        <f>IF(C266=C265,K265+1,1)</f>
        <v>1</v>
      </c>
      <c r="L266">
        <f>MIN(((374/K266)*I266),L267)</f>
        <v>2.734189271</v>
      </c>
      <c r="M266">
        <f>-LOG10(L266)</f>
        <v>-0.43682857479132892</v>
      </c>
    </row>
    <row r="267" spans="1:13" x14ac:dyDescent="0.2">
      <c r="A267" t="s">
        <v>137</v>
      </c>
      <c r="B267" t="s">
        <v>24</v>
      </c>
      <c r="C267" t="s">
        <v>25</v>
      </c>
      <c r="D267">
        <v>0.20924277099999999</v>
      </c>
      <c r="E267" s="7">
        <f>ABS(D267)</f>
        <v>0.20924277099999999</v>
      </c>
      <c r="F267">
        <v>0.11833463900000001</v>
      </c>
      <c r="G267">
        <v>146</v>
      </c>
      <c r="H267">
        <v>18</v>
      </c>
      <c r="I267">
        <v>7.9154967000000007E-2</v>
      </c>
      <c r="J267">
        <v>0.43176862700000002</v>
      </c>
      <c r="K267">
        <f>IF(C267=C266,K266+1,1)</f>
        <v>2</v>
      </c>
      <c r="L267">
        <f>MIN(((374/K267)*I267),L268)</f>
        <v>2.734189271</v>
      </c>
      <c r="M267">
        <f>-LOG10(L267)</f>
        <v>-0.43682857479132892</v>
      </c>
    </row>
    <row r="268" spans="1:13" x14ac:dyDescent="0.2">
      <c r="A268" t="s">
        <v>190</v>
      </c>
      <c r="B268" t="s">
        <v>24</v>
      </c>
      <c r="C268" t="s">
        <v>25</v>
      </c>
      <c r="D268">
        <v>-0.207836932</v>
      </c>
      <c r="E268" s="7">
        <f>ABS(D268)</f>
        <v>0.207836932</v>
      </c>
      <c r="F268">
        <v>0.15807353299999999</v>
      </c>
      <c r="G268">
        <v>146</v>
      </c>
      <c r="H268">
        <v>32</v>
      </c>
      <c r="I268">
        <v>0.190677873</v>
      </c>
      <c r="J268">
        <v>0.66651775000000002</v>
      </c>
      <c r="K268">
        <f>IF(C268=C267,K267+1,1)</f>
        <v>3</v>
      </c>
      <c r="L268">
        <f>MIN(((374/K268)*I268),L269)</f>
        <v>2.734189271</v>
      </c>
      <c r="M268">
        <f>-LOG10(L268)</f>
        <v>-0.43682857479132892</v>
      </c>
    </row>
    <row r="269" spans="1:13" x14ac:dyDescent="0.2">
      <c r="A269" t="s">
        <v>133</v>
      </c>
      <c r="B269" t="s">
        <v>24</v>
      </c>
      <c r="C269" t="s">
        <v>25</v>
      </c>
      <c r="D269">
        <v>0.20755722600000001</v>
      </c>
      <c r="E269" s="7">
        <f>ABS(D269)</f>
        <v>0.20755722600000001</v>
      </c>
      <c r="F269">
        <v>0.127076248</v>
      </c>
      <c r="G269">
        <v>146</v>
      </c>
      <c r="H269">
        <v>34</v>
      </c>
      <c r="I269">
        <v>0.104599843</v>
      </c>
      <c r="J269">
        <v>0.498348297</v>
      </c>
      <c r="K269">
        <f>IF(C269=C268,K268+1,1)</f>
        <v>4</v>
      </c>
      <c r="L269">
        <f>MIN(((374/K269)*I269),L270)</f>
        <v>2.734189271</v>
      </c>
      <c r="M269">
        <f>-LOG10(L269)</f>
        <v>-0.43682857479132892</v>
      </c>
    </row>
    <row r="270" spans="1:13" x14ac:dyDescent="0.2">
      <c r="A270" t="s">
        <v>279</v>
      </c>
      <c r="B270" t="s">
        <v>24</v>
      </c>
      <c r="C270" t="s">
        <v>25</v>
      </c>
      <c r="D270">
        <v>0.20645080800000001</v>
      </c>
      <c r="E270" s="7">
        <f>ABS(D270)</f>
        <v>0.20645080800000001</v>
      </c>
      <c r="F270">
        <v>0.28966473300000001</v>
      </c>
      <c r="G270">
        <v>146</v>
      </c>
      <c r="H270">
        <v>86</v>
      </c>
      <c r="I270">
        <v>0.47717834999999997</v>
      </c>
      <c r="J270">
        <v>0.84421080100000001</v>
      </c>
      <c r="K270">
        <f>IF(C270=C269,K269+1,1)</f>
        <v>5</v>
      </c>
      <c r="L270">
        <f>MIN(((374/K270)*I270),L271)</f>
        <v>2.734189271</v>
      </c>
      <c r="M270">
        <f>-LOG10(L270)</f>
        <v>-0.43682857479132892</v>
      </c>
    </row>
    <row r="271" spans="1:13" x14ac:dyDescent="0.2">
      <c r="A271" t="s">
        <v>59</v>
      </c>
      <c r="B271" t="s">
        <v>10</v>
      </c>
      <c r="C271" t="s">
        <v>11</v>
      </c>
      <c r="D271">
        <v>-0.20536589599999999</v>
      </c>
      <c r="E271" s="7">
        <f>ABS(D271)</f>
        <v>0.20536589599999999</v>
      </c>
      <c r="F271">
        <v>0.35124197400000001</v>
      </c>
      <c r="G271">
        <v>146</v>
      </c>
      <c r="H271">
        <v>72</v>
      </c>
      <c r="I271">
        <v>0.55968092899999999</v>
      </c>
      <c r="J271">
        <v>0.85640127899999996</v>
      </c>
      <c r="K271">
        <f>IF(C271=C270,K270+1,1)</f>
        <v>1</v>
      </c>
      <c r="L271">
        <f>MIN(((374/K271)*I271),L272)</f>
        <v>2.734189271</v>
      </c>
      <c r="M271">
        <f>-LOG10(L271)</f>
        <v>-0.43682857479132892</v>
      </c>
    </row>
    <row r="272" spans="1:13" x14ac:dyDescent="0.2">
      <c r="A272" t="s">
        <v>271</v>
      </c>
      <c r="B272" t="s">
        <v>24</v>
      </c>
      <c r="C272" t="s">
        <v>25</v>
      </c>
      <c r="D272">
        <v>-0.20489039100000001</v>
      </c>
      <c r="E272" s="7">
        <f>ABS(D272)</f>
        <v>0.20489039100000001</v>
      </c>
      <c r="F272">
        <v>0.22014254799999999</v>
      </c>
      <c r="G272">
        <v>146</v>
      </c>
      <c r="H272">
        <v>33</v>
      </c>
      <c r="I272">
        <v>0.35356859499999999</v>
      </c>
      <c r="J272">
        <v>0.78239986699999997</v>
      </c>
      <c r="K272">
        <f>IF(C272=C271,K271+1,1)</f>
        <v>1</v>
      </c>
      <c r="L272">
        <f>MIN(((374/K272)*I272),L273)</f>
        <v>2.734189271</v>
      </c>
      <c r="M272">
        <f>-LOG10(L272)</f>
        <v>-0.43682857479132892</v>
      </c>
    </row>
    <row r="273" spans="1:13" x14ac:dyDescent="0.2">
      <c r="A273" t="s">
        <v>182</v>
      </c>
      <c r="B273" t="s">
        <v>10</v>
      </c>
      <c r="C273" t="s">
        <v>11</v>
      </c>
      <c r="D273">
        <v>0.20323506899999999</v>
      </c>
      <c r="E273" s="7">
        <f>ABS(D273)</f>
        <v>0.20323506899999999</v>
      </c>
      <c r="F273">
        <v>0.19398219999999999</v>
      </c>
      <c r="G273">
        <v>146</v>
      </c>
      <c r="H273">
        <v>41</v>
      </c>
      <c r="I273">
        <v>0.29654462100000001</v>
      </c>
      <c r="J273">
        <v>0.74902001500000004</v>
      </c>
      <c r="K273">
        <f>IF(C273=C272,K272+1,1)</f>
        <v>1</v>
      </c>
      <c r="L273">
        <f>MIN(((374/K273)*I273),L274)</f>
        <v>2.734189271</v>
      </c>
      <c r="M273">
        <f>-LOG10(L273)</f>
        <v>-0.43682857479132892</v>
      </c>
    </row>
    <row r="274" spans="1:13" x14ac:dyDescent="0.2">
      <c r="A274" t="s">
        <v>89</v>
      </c>
      <c r="B274" t="s">
        <v>24</v>
      </c>
      <c r="C274" t="s">
        <v>25</v>
      </c>
      <c r="D274">
        <v>0.202782039</v>
      </c>
      <c r="E274" s="7">
        <f>ABS(D274)</f>
        <v>0.202782039</v>
      </c>
      <c r="F274">
        <v>0.28539797900000002</v>
      </c>
      <c r="G274">
        <v>146</v>
      </c>
      <c r="H274">
        <v>113</v>
      </c>
      <c r="I274">
        <v>0.47853660399999998</v>
      </c>
      <c r="J274">
        <v>0.84421080100000001</v>
      </c>
      <c r="K274">
        <f>IF(C274=C273,K273+1,1)</f>
        <v>1</v>
      </c>
      <c r="L274">
        <f>MIN(((374/K274)*I274),L275)</f>
        <v>2.734189271</v>
      </c>
      <c r="M274">
        <f>-LOG10(L274)</f>
        <v>-0.43682857479132892</v>
      </c>
    </row>
    <row r="275" spans="1:13" x14ac:dyDescent="0.2">
      <c r="A275" t="s">
        <v>273</v>
      </c>
      <c r="B275" t="s">
        <v>10</v>
      </c>
      <c r="C275" t="s">
        <v>11</v>
      </c>
      <c r="D275">
        <v>-0.20248870299999999</v>
      </c>
      <c r="E275" s="7">
        <f>ABS(D275)</f>
        <v>0.20248870299999999</v>
      </c>
      <c r="F275">
        <v>0.22020082699999999</v>
      </c>
      <c r="G275">
        <v>146</v>
      </c>
      <c r="H275">
        <v>26</v>
      </c>
      <c r="I275">
        <v>0.359349323</v>
      </c>
      <c r="J275">
        <v>0.78825012699999997</v>
      </c>
      <c r="K275">
        <f>IF(C275=C274,K274+1,1)</f>
        <v>1</v>
      </c>
      <c r="L275">
        <f>MIN(((374/K275)*I275),L276)</f>
        <v>2.734189271</v>
      </c>
      <c r="M275">
        <f>-LOG10(L275)</f>
        <v>-0.43682857479132892</v>
      </c>
    </row>
    <row r="276" spans="1:13" x14ac:dyDescent="0.2">
      <c r="A276" t="s">
        <v>193</v>
      </c>
      <c r="B276" t="s">
        <v>24</v>
      </c>
      <c r="C276" t="s">
        <v>25</v>
      </c>
      <c r="D276">
        <v>-0.20148512900000001</v>
      </c>
      <c r="E276" s="7">
        <f>ABS(D276)</f>
        <v>0.20148512900000001</v>
      </c>
      <c r="F276">
        <v>0.155560172</v>
      </c>
      <c r="G276">
        <v>146</v>
      </c>
      <c r="H276">
        <v>53</v>
      </c>
      <c r="I276">
        <v>0.19733039199999999</v>
      </c>
      <c r="J276">
        <v>0.67707859400000003</v>
      </c>
      <c r="K276">
        <f>IF(C276=C275,K275+1,1)</f>
        <v>1</v>
      </c>
      <c r="L276">
        <f>MIN(((374/K276)*I276),L277)</f>
        <v>2.734189271</v>
      </c>
      <c r="M276">
        <f>-LOG10(L276)</f>
        <v>-0.43682857479132892</v>
      </c>
    </row>
    <row r="277" spans="1:13" x14ac:dyDescent="0.2">
      <c r="A277" t="s">
        <v>187</v>
      </c>
      <c r="B277" t="s">
        <v>10</v>
      </c>
      <c r="C277" t="s">
        <v>11</v>
      </c>
      <c r="D277">
        <v>-0.20073079699999999</v>
      </c>
      <c r="E277" s="7">
        <f>ABS(D277)</f>
        <v>0.20073079699999999</v>
      </c>
      <c r="F277">
        <v>0.145792111</v>
      </c>
      <c r="G277">
        <v>146</v>
      </c>
      <c r="H277">
        <v>25</v>
      </c>
      <c r="I277">
        <v>0.17071683600000001</v>
      </c>
      <c r="J277">
        <v>0.62152594699999997</v>
      </c>
      <c r="K277">
        <f>IF(C277=C276,K276+1,1)</f>
        <v>1</v>
      </c>
      <c r="L277">
        <f>MIN(((374/K277)*I277),L278)</f>
        <v>2.734189271</v>
      </c>
      <c r="M277">
        <f>-LOG10(L277)</f>
        <v>-0.43682857479132892</v>
      </c>
    </row>
    <row r="278" spans="1:13" x14ac:dyDescent="0.2">
      <c r="A278" t="s">
        <v>176</v>
      </c>
      <c r="B278" t="s">
        <v>24</v>
      </c>
      <c r="C278" t="s">
        <v>25</v>
      </c>
      <c r="D278">
        <v>-0.19973474899999999</v>
      </c>
      <c r="E278" s="7">
        <f>ABS(D278)</f>
        <v>0.19973474899999999</v>
      </c>
      <c r="F278">
        <v>0.27863217699999998</v>
      </c>
      <c r="G278">
        <v>146</v>
      </c>
      <c r="H278">
        <v>107</v>
      </c>
      <c r="I278">
        <v>0.47464187299999999</v>
      </c>
      <c r="J278">
        <v>0.84421080100000001</v>
      </c>
      <c r="K278">
        <f>IF(C278=C277,K277+1,1)</f>
        <v>1</v>
      </c>
      <c r="L278">
        <f>MIN(((374/K278)*I278),L279)</f>
        <v>2.734189271</v>
      </c>
      <c r="M278">
        <f>-LOG10(L278)</f>
        <v>-0.43682857479132892</v>
      </c>
    </row>
    <row r="279" spans="1:13" x14ac:dyDescent="0.2">
      <c r="A279" t="s">
        <v>86</v>
      </c>
      <c r="B279" t="s">
        <v>24</v>
      </c>
      <c r="C279" t="s">
        <v>25</v>
      </c>
      <c r="D279">
        <v>-0.198165494</v>
      </c>
      <c r="E279" s="7">
        <f>ABS(D279)</f>
        <v>0.198165494</v>
      </c>
      <c r="F279">
        <v>0.23600423700000001</v>
      </c>
      <c r="G279">
        <v>146</v>
      </c>
      <c r="H279">
        <v>120</v>
      </c>
      <c r="I279">
        <v>0.40249547200000002</v>
      </c>
      <c r="J279">
        <v>0.82306795099999996</v>
      </c>
      <c r="K279">
        <f>IF(C279=C278,K278+1,1)</f>
        <v>2</v>
      </c>
      <c r="L279">
        <f>MIN(((374/K279)*I279),L280)</f>
        <v>2.734189271</v>
      </c>
      <c r="M279">
        <f>-LOG10(L279)</f>
        <v>-0.43682857479132892</v>
      </c>
    </row>
    <row r="280" spans="1:13" x14ac:dyDescent="0.2">
      <c r="A280" t="s">
        <v>208</v>
      </c>
      <c r="B280" t="s">
        <v>24</v>
      </c>
      <c r="C280" t="s">
        <v>25</v>
      </c>
      <c r="D280">
        <v>-0.197083754</v>
      </c>
      <c r="E280" s="7">
        <f>ABS(D280)</f>
        <v>0.197083754</v>
      </c>
      <c r="F280">
        <v>0.16118844199999999</v>
      </c>
      <c r="G280">
        <v>146</v>
      </c>
      <c r="H280">
        <v>40</v>
      </c>
      <c r="I280">
        <v>0.223457514</v>
      </c>
      <c r="J280">
        <v>0.7012912</v>
      </c>
      <c r="K280">
        <f>IF(C280=C279,K279+1,1)</f>
        <v>3</v>
      </c>
      <c r="L280">
        <f>MIN(((374/K280)*I280),L281)</f>
        <v>2.734189271</v>
      </c>
      <c r="M280">
        <f>-LOG10(L280)</f>
        <v>-0.43682857479132892</v>
      </c>
    </row>
    <row r="281" spans="1:13" x14ac:dyDescent="0.2">
      <c r="A281" t="s">
        <v>296</v>
      </c>
      <c r="B281" t="s">
        <v>24</v>
      </c>
      <c r="C281" t="s">
        <v>25</v>
      </c>
      <c r="D281">
        <v>-0.19694504800000001</v>
      </c>
      <c r="E281" s="7">
        <f>ABS(D281)</f>
        <v>0.19694504800000001</v>
      </c>
      <c r="F281">
        <v>0.24927763999999999</v>
      </c>
      <c r="G281">
        <v>146</v>
      </c>
      <c r="H281">
        <v>80</v>
      </c>
      <c r="I281">
        <v>0.43079913600000003</v>
      </c>
      <c r="J281">
        <v>0.83666758600000002</v>
      </c>
      <c r="K281">
        <f>IF(C281=C280,K280+1,1)</f>
        <v>4</v>
      </c>
      <c r="L281">
        <f>MIN(((374/K281)*I281),L282)</f>
        <v>2.734189271</v>
      </c>
      <c r="M281">
        <f>-LOG10(L281)</f>
        <v>-0.43682857479132892</v>
      </c>
    </row>
    <row r="282" spans="1:13" x14ac:dyDescent="0.2">
      <c r="A282" t="s">
        <v>328</v>
      </c>
      <c r="B282" t="s">
        <v>24</v>
      </c>
      <c r="C282" t="s">
        <v>25</v>
      </c>
      <c r="D282">
        <v>0.196171229</v>
      </c>
      <c r="E282" s="7">
        <f>ABS(D282)</f>
        <v>0.196171229</v>
      </c>
      <c r="F282">
        <v>0.33279751299999999</v>
      </c>
      <c r="G282">
        <v>146</v>
      </c>
      <c r="H282">
        <v>36</v>
      </c>
      <c r="I282">
        <v>0.55648206099999997</v>
      </c>
      <c r="J282">
        <v>0.85640127899999996</v>
      </c>
      <c r="K282">
        <f>IF(C282=C281,K281+1,1)</f>
        <v>5</v>
      </c>
      <c r="L282">
        <f>MIN(((374/K282)*I282),L283)</f>
        <v>2.734189271</v>
      </c>
      <c r="M282">
        <f>-LOG10(L282)</f>
        <v>-0.43682857479132892</v>
      </c>
    </row>
    <row r="283" spans="1:13" x14ac:dyDescent="0.2">
      <c r="A283" t="s">
        <v>173</v>
      </c>
      <c r="B283" t="s">
        <v>10</v>
      </c>
      <c r="C283" t="s">
        <v>11</v>
      </c>
      <c r="D283">
        <v>0.19553916299999999</v>
      </c>
      <c r="E283" s="7">
        <f>ABS(D283)</f>
        <v>0.19553916299999999</v>
      </c>
      <c r="F283">
        <v>0.13345657</v>
      </c>
      <c r="G283">
        <v>146</v>
      </c>
      <c r="H283">
        <v>26</v>
      </c>
      <c r="I283">
        <v>0.14506444399999999</v>
      </c>
      <c r="J283">
        <v>0.58285126200000004</v>
      </c>
      <c r="K283">
        <f>IF(C283=C282,K282+1,1)</f>
        <v>1</v>
      </c>
      <c r="L283">
        <f>MIN(((374/K283)*I283),L284)</f>
        <v>2.734189271</v>
      </c>
      <c r="M283">
        <f>-LOG10(L283)</f>
        <v>-0.43682857479132892</v>
      </c>
    </row>
    <row r="284" spans="1:13" x14ac:dyDescent="0.2">
      <c r="A284" t="s">
        <v>213</v>
      </c>
      <c r="B284" t="s">
        <v>24</v>
      </c>
      <c r="C284" t="s">
        <v>25</v>
      </c>
      <c r="D284">
        <v>-0.19529837799999999</v>
      </c>
      <c r="E284" s="7">
        <f>ABS(D284)</f>
        <v>0.19529837799999999</v>
      </c>
      <c r="F284">
        <v>0.43082509699999999</v>
      </c>
      <c r="G284">
        <v>146</v>
      </c>
      <c r="H284">
        <v>54</v>
      </c>
      <c r="I284">
        <v>0.65101088900000004</v>
      </c>
      <c r="J284">
        <v>0.89960398799999997</v>
      </c>
      <c r="K284">
        <f>IF(C284=C283,K283+1,1)</f>
        <v>1</v>
      </c>
      <c r="L284">
        <f>MIN(((374/K284)*I284),L285)</f>
        <v>2.734189271</v>
      </c>
      <c r="M284">
        <f>-LOG10(L284)</f>
        <v>-0.43682857479132892</v>
      </c>
    </row>
    <row r="285" spans="1:13" x14ac:dyDescent="0.2">
      <c r="A285" t="s">
        <v>196</v>
      </c>
      <c r="B285" t="s">
        <v>10</v>
      </c>
      <c r="C285" t="s">
        <v>11</v>
      </c>
      <c r="D285">
        <v>-0.19493861500000001</v>
      </c>
      <c r="E285" s="7">
        <f>ABS(D285)</f>
        <v>0.19493861500000001</v>
      </c>
      <c r="F285">
        <v>0.15201584600000001</v>
      </c>
      <c r="G285">
        <v>146</v>
      </c>
      <c r="H285">
        <v>37</v>
      </c>
      <c r="I285">
        <v>0.201792259</v>
      </c>
      <c r="J285">
        <v>0.68582516999999998</v>
      </c>
      <c r="K285">
        <f>IF(C285=C284,K284+1,1)</f>
        <v>1</v>
      </c>
      <c r="L285">
        <f>MIN(((374/K285)*I285),L286)</f>
        <v>2.734189271</v>
      </c>
      <c r="M285">
        <f>-LOG10(L285)</f>
        <v>-0.43682857479132892</v>
      </c>
    </row>
    <row r="286" spans="1:13" x14ac:dyDescent="0.2">
      <c r="A286" t="s">
        <v>307</v>
      </c>
      <c r="B286" t="s">
        <v>10</v>
      </c>
      <c r="C286" t="s">
        <v>11</v>
      </c>
      <c r="D286">
        <v>0.19464986100000001</v>
      </c>
      <c r="E286" s="7">
        <f>ABS(D286)</f>
        <v>0.19464986100000001</v>
      </c>
      <c r="F286">
        <v>0.26153757100000002</v>
      </c>
      <c r="G286">
        <v>146</v>
      </c>
      <c r="H286">
        <v>61</v>
      </c>
      <c r="I286">
        <v>0.45794528200000001</v>
      </c>
      <c r="J286">
        <v>0.84421080100000001</v>
      </c>
      <c r="K286">
        <f>IF(C286=C285,K285+1,1)</f>
        <v>2</v>
      </c>
      <c r="L286">
        <f>MIN(((374/K286)*I286),L287)</f>
        <v>2.734189271</v>
      </c>
      <c r="M286">
        <f>-LOG10(L286)</f>
        <v>-0.43682857479132892</v>
      </c>
    </row>
    <row r="287" spans="1:13" x14ac:dyDescent="0.2">
      <c r="A287" t="s">
        <v>112</v>
      </c>
      <c r="B287" t="s">
        <v>24</v>
      </c>
      <c r="C287" t="s">
        <v>25</v>
      </c>
      <c r="D287">
        <v>0.19414286</v>
      </c>
      <c r="E287" s="7">
        <f>ABS(D287)</f>
        <v>0.19414286</v>
      </c>
      <c r="F287">
        <v>0.125598767</v>
      </c>
      <c r="G287">
        <v>146</v>
      </c>
      <c r="H287">
        <v>36</v>
      </c>
      <c r="I287">
        <v>0.12437791600000001</v>
      </c>
      <c r="J287">
        <v>0.53777272399999998</v>
      </c>
      <c r="K287">
        <f>IF(C287=C286,K286+1,1)</f>
        <v>1</v>
      </c>
      <c r="L287">
        <f>MIN(((374/K287)*I287),L288)</f>
        <v>2.734189271</v>
      </c>
      <c r="M287">
        <f>-LOG10(L287)</f>
        <v>-0.43682857479132892</v>
      </c>
    </row>
    <row r="288" spans="1:13" x14ac:dyDescent="0.2">
      <c r="A288" t="s">
        <v>76</v>
      </c>
      <c r="B288" t="s">
        <v>10</v>
      </c>
      <c r="C288" t="s">
        <v>11</v>
      </c>
      <c r="D288">
        <v>-0.19338909000000001</v>
      </c>
      <c r="E288" s="7">
        <f>ABS(D288)</f>
        <v>0.19338909000000001</v>
      </c>
      <c r="F288">
        <v>8.1609501000000001E-2</v>
      </c>
      <c r="G288">
        <v>146</v>
      </c>
      <c r="H288">
        <v>15</v>
      </c>
      <c r="I288">
        <v>1.9138577E-2</v>
      </c>
      <c r="J288">
        <v>0.21705313700000001</v>
      </c>
      <c r="K288">
        <f>IF(C288=C287,K287+1,1)</f>
        <v>1</v>
      </c>
      <c r="L288">
        <f>MIN(((374/K288)*I288),L289)</f>
        <v>2.734189271</v>
      </c>
      <c r="M288">
        <f>-LOG10(L288)</f>
        <v>-0.43682857479132892</v>
      </c>
    </row>
    <row r="289" spans="1:13" x14ac:dyDescent="0.2">
      <c r="A289" t="s">
        <v>273</v>
      </c>
      <c r="B289" t="s">
        <v>24</v>
      </c>
      <c r="C289" t="s">
        <v>25</v>
      </c>
      <c r="D289">
        <v>-0.19152004</v>
      </c>
      <c r="E289" s="7">
        <f>ABS(D289)</f>
        <v>0.19152004</v>
      </c>
      <c r="F289">
        <v>0.20582526000000001</v>
      </c>
      <c r="G289">
        <v>146</v>
      </c>
      <c r="H289">
        <v>26</v>
      </c>
      <c r="I289">
        <v>0.353681362</v>
      </c>
      <c r="J289">
        <v>0.78239986699999997</v>
      </c>
      <c r="K289">
        <f>IF(C289=C288,K288+1,1)</f>
        <v>1</v>
      </c>
      <c r="L289">
        <f>MIN(((374/K289)*I289),L290)</f>
        <v>2.734189271</v>
      </c>
      <c r="M289">
        <f>-LOG10(L289)</f>
        <v>-0.43682857479132892</v>
      </c>
    </row>
    <row r="290" spans="1:13" x14ac:dyDescent="0.2">
      <c r="A290" t="s">
        <v>58</v>
      </c>
      <c r="B290" t="s">
        <v>24</v>
      </c>
      <c r="C290" t="s">
        <v>25</v>
      </c>
      <c r="D290">
        <v>0.19151969099999999</v>
      </c>
      <c r="E290" s="7">
        <f>ABS(D290)</f>
        <v>0.19151969099999999</v>
      </c>
      <c r="F290">
        <v>7.7485412000000004E-2</v>
      </c>
      <c r="G290">
        <v>146</v>
      </c>
      <c r="H290">
        <v>15</v>
      </c>
      <c r="I290">
        <v>1.4621333E-2</v>
      </c>
      <c r="J290">
        <v>0.196778758</v>
      </c>
      <c r="K290">
        <f>IF(C290=C289,K289+1,1)</f>
        <v>2</v>
      </c>
      <c r="L290">
        <f>MIN(((374/K290)*I290),L291)</f>
        <v>2.734189271</v>
      </c>
      <c r="M290">
        <f>-LOG10(L290)</f>
        <v>-0.43682857479132892</v>
      </c>
    </row>
    <row r="291" spans="1:13" x14ac:dyDescent="0.2">
      <c r="A291" t="s">
        <v>140</v>
      </c>
      <c r="B291" t="s">
        <v>10</v>
      </c>
      <c r="C291" t="s">
        <v>11</v>
      </c>
      <c r="D291">
        <v>-0.18964026</v>
      </c>
      <c r="E291" s="7">
        <f>ABS(D291)</f>
        <v>0.18964026</v>
      </c>
      <c r="F291">
        <v>0.10897467399999999</v>
      </c>
      <c r="G291">
        <v>146</v>
      </c>
      <c r="H291">
        <v>17</v>
      </c>
      <c r="I291">
        <v>8.3971086E-2</v>
      </c>
      <c r="J291">
        <v>0.445463636</v>
      </c>
      <c r="K291">
        <f>IF(C291=C290,K290+1,1)</f>
        <v>1</v>
      </c>
      <c r="L291">
        <f>MIN(((374/K291)*I291),L292)</f>
        <v>10.453380597000001</v>
      </c>
      <c r="M291">
        <f>-LOG10(L291)</f>
        <v>-1.0192567629059295</v>
      </c>
    </row>
    <row r="292" spans="1:13" x14ac:dyDescent="0.2">
      <c r="A292" t="s">
        <v>339</v>
      </c>
      <c r="B292" t="s">
        <v>10</v>
      </c>
      <c r="C292" t="s">
        <v>11</v>
      </c>
      <c r="D292">
        <v>-0.18958085399999999</v>
      </c>
      <c r="E292" s="7">
        <f>ABS(D292)</f>
        <v>0.18958085399999999</v>
      </c>
      <c r="F292">
        <v>0.31054536999999999</v>
      </c>
      <c r="G292">
        <v>146</v>
      </c>
      <c r="H292">
        <v>20</v>
      </c>
      <c r="I292">
        <v>0.54251478500000005</v>
      </c>
      <c r="J292">
        <v>0.85640127899999996</v>
      </c>
      <c r="K292">
        <f>IF(C292=C291,K291+1,1)</f>
        <v>2</v>
      </c>
      <c r="L292">
        <f>MIN(((374/K292)*I292),L293)</f>
        <v>10.453380597000001</v>
      </c>
      <c r="M292">
        <f>-LOG10(L292)</f>
        <v>-1.0192567629059295</v>
      </c>
    </row>
    <row r="293" spans="1:13" x14ac:dyDescent="0.2">
      <c r="A293" t="s">
        <v>170</v>
      </c>
      <c r="B293" t="s">
        <v>24</v>
      </c>
      <c r="C293" t="s">
        <v>25</v>
      </c>
      <c r="D293">
        <v>0.187695</v>
      </c>
      <c r="E293" s="7">
        <f>ABS(D293)</f>
        <v>0.187695</v>
      </c>
      <c r="F293">
        <v>0.161146502</v>
      </c>
      <c r="G293">
        <v>146</v>
      </c>
      <c r="H293">
        <v>29</v>
      </c>
      <c r="I293">
        <v>0.24606055800000001</v>
      </c>
      <c r="J293">
        <v>0.716456647</v>
      </c>
      <c r="K293">
        <f>IF(C293=C292,K292+1,1)</f>
        <v>1</v>
      </c>
      <c r="L293">
        <f>MIN(((374/K293)*I293),L294)</f>
        <v>10.453380597000001</v>
      </c>
      <c r="M293">
        <f>-LOG10(L293)</f>
        <v>-1.0192567629059295</v>
      </c>
    </row>
    <row r="294" spans="1:13" x14ac:dyDescent="0.2">
      <c r="A294" t="s">
        <v>247</v>
      </c>
      <c r="B294" t="s">
        <v>10</v>
      </c>
      <c r="C294" t="s">
        <v>11</v>
      </c>
      <c r="D294">
        <v>-0.18763350400000001</v>
      </c>
      <c r="E294" s="7">
        <f>ABS(D294)</f>
        <v>0.18763350400000001</v>
      </c>
      <c r="F294">
        <v>0.176438962</v>
      </c>
      <c r="G294">
        <v>146</v>
      </c>
      <c r="H294">
        <v>20</v>
      </c>
      <c r="I294">
        <v>0.28937174700000001</v>
      </c>
      <c r="J294">
        <v>0.74902001500000004</v>
      </c>
      <c r="K294">
        <f>IF(C294=C293,K293+1,1)</f>
        <v>1</v>
      </c>
      <c r="L294">
        <f>MIN(((374/K294)*I294),L295)</f>
        <v>10.453380597000001</v>
      </c>
      <c r="M294">
        <f>-LOG10(L294)</f>
        <v>-1.0192567629059295</v>
      </c>
    </row>
    <row r="295" spans="1:13" x14ac:dyDescent="0.2">
      <c r="A295" t="s">
        <v>206</v>
      </c>
      <c r="B295" t="s">
        <v>10</v>
      </c>
      <c r="C295" t="s">
        <v>11</v>
      </c>
      <c r="D295">
        <v>-0.18759822300000001</v>
      </c>
      <c r="E295" s="7">
        <f>ABS(D295)</f>
        <v>0.18759822300000001</v>
      </c>
      <c r="F295">
        <v>0.27649373100000002</v>
      </c>
      <c r="G295">
        <v>146</v>
      </c>
      <c r="H295">
        <v>41</v>
      </c>
      <c r="I295">
        <v>0.49855759799999999</v>
      </c>
      <c r="J295">
        <v>0.85109879300000002</v>
      </c>
      <c r="K295">
        <f>IF(C295=C294,K294+1,1)</f>
        <v>2</v>
      </c>
      <c r="L295">
        <f>MIN(((374/K295)*I295),L296)</f>
        <v>10.453380597000001</v>
      </c>
      <c r="M295">
        <f>-LOG10(L295)</f>
        <v>-1.0192567629059295</v>
      </c>
    </row>
    <row r="296" spans="1:13" x14ac:dyDescent="0.2">
      <c r="A296" t="s">
        <v>168</v>
      </c>
      <c r="B296" t="s">
        <v>24</v>
      </c>
      <c r="C296" t="s">
        <v>25</v>
      </c>
      <c r="D296">
        <v>-0.186426653</v>
      </c>
      <c r="E296" s="7">
        <f>ABS(D296)</f>
        <v>0.186426653</v>
      </c>
      <c r="F296">
        <v>0.12427194499999999</v>
      </c>
      <c r="G296">
        <v>146</v>
      </c>
      <c r="H296">
        <v>18</v>
      </c>
      <c r="I296">
        <v>0.13577998099999999</v>
      </c>
      <c r="J296">
        <v>0.56424125599999997</v>
      </c>
      <c r="K296">
        <f>IF(C296=C295,K295+1,1)</f>
        <v>1</v>
      </c>
      <c r="L296">
        <f>MIN(((374/K296)*I296),L297)</f>
        <v>10.453380597000001</v>
      </c>
      <c r="M296">
        <f>-LOG10(L296)</f>
        <v>-1.0192567629059295</v>
      </c>
    </row>
    <row r="297" spans="1:13" x14ac:dyDescent="0.2">
      <c r="A297" t="s">
        <v>274</v>
      </c>
      <c r="B297" t="s">
        <v>10</v>
      </c>
      <c r="C297" t="s">
        <v>11</v>
      </c>
      <c r="D297">
        <v>-0.18585106500000001</v>
      </c>
      <c r="E297" s="7">
        <f>ABS(D297)</f>
        <v>0.18585106500000001</v>
      </c>
      <c r="F297">
        <v>0.203477414</v>
      </c>
      <c r="G297">
        <v>146</v>
      </c>
      <c r="H297">
        <v>22</v>
      </c>
      <c r="I297">
        <v>0.36258304400000002</v>
      </c>
      <c r="J297">
        <v>0.78893092600000003</v>
      </c>
      <c r="K297">
        <f>IF(C297=C296,K296+1,1)</f>
        <v>1</v>
      </c>
      <c r="L297">
        <f>MIN(((374/K297)*I297),L298)</f>
        <v>10.453380597000001</v>
      </c>
      <c r="M297">
        <f>-LOG10(L297)</f>
        <v>-1.0192567629059295</v>
      </c>
    </row>
    <row r="298" spans="1:13" x14ac:dyDescent="0.2">
      <c r="A298" t="s">
        <v>113</v>
      </c>
      <c r="B298" t="s">
        <v>10</v>
      </c>
      <c r="C298" t="s">
        <v>11</v>
      </c>
      <c r="D298">
        <v>-0.183932022</v>
      </c>
      <c r="E298" s="7">
        <f>ABS(D298)</f>
        <v>0.183932022</v>
      </c>
      <c r="F298">
        <v>9.5425403000000006E-2</v>
      </c>
      <c r="G298">
        <v>146</v>
      </c>
      <c r="H298">
        <v>16</v>
      </c>
      <c r="I298">
        <v>5.5900431E-2</v>
      </c>
      <c r="J298">
        <v>0.35406327900000001</v>
      </c>
      <c r="K298">
        <f>IF(C298=C297,K297+1,1)</f>
        <v>2</v>
      </c>
      <c r="L298">
        <f>MIN(((374/K298)*I298),L299)</f>
        <v>10.453380597000001</v>
      </c>
      <c r="M298">
        <f>-LOG10(L298)</f>
        <v>-1.0192567629059295</v>
      </c>
    </row>
    <row r="299" spans="1:13" x14ac:dyDescent="0.2">
      <c r="A299" t="s">
        <v>302</v>
      </c>
      <c r="B299" t="s">
        <v>10</v>
      </c>
      <c r="C299" t="s">
        <v>11</v>
      </c>
      <c r="D299">
        <v>0.18380118400000001</v>
      </c>
      <c r="E299" s="7">
        <f>ABS(D299)</f>
        <v>0.18380118400000001</v>
      </c>
      <c r="F299">
        <v>0.25366312099999999</v>
      </c>
      <c r="G299">
        <v>146</v>
      </c>
      <c r="H299">
        <v>51</v>
      </c>
      <c r="I299">
        <v>0.46988888099999998</v>
      </c>
      <c r="J299">
        <v>0.84421080100000001</v>
      </c>
      <c r="K299">
        <f>IF(C299=C298,K298+1,1)</f>
        <v>3</v>
      </c>
      <c r="L299">
        <f>MIN(((374/K299)*I299),L300)</f>
        <v>10.6492113915</v>
      </c>
      <c r="M299">
        <f>-LOG10(L299)</f>
        <v>-1.0273174480563714</v>
      </c>
    </row>
    <row r="300" spans="1:13" x14ac:dyDescent="0.2">
      <c r="A300" t="s">
        <v>157</v>
      </c>
      <c r="B300" t="s">
        <v>10</v>
      </c>
      <c r="C300" t="s">
        <v>11</v>
      </c>
      <c r="D300">
        <v>0.18330565200000001</v>
      </c>
      <c r="E300" s="7">
        <f>ABS(D300)</f>
        <v>0.18330565200000001</v>
      </c>
      <c r="F300">
        <v>0.115239019</v>
      </c>
      <c r="G300">
        <v>146</v>
      </c>
      <c r="H300">
        <v>16</v>
      </c>
      <c r="I300">
        <v>0.113895309</v>
      </c>
      <c r="J300">
        <v>0.51632540199999999</v>
      </c>
      <c r="K300">
        <f>IF(C300=C299,K299+1,1)</f>
        <v>4</v>
      </c>
      <c r="L300">
        <f>MIN(((374/K300)*I300),L301)</f>
        <v>10.6492113915</v>
      </c>
      <c r="M300">
        <f>-LOG10(L300)</f>
        <v>-1.0273174480563714</v>
      </c>
    </row>
    <row r="301" spans="1:13" x14ac:dyDescent="0.2">
      <c r="A301" t="s">
        <v>272</v>
      </c>
      <c r="B301" t="s">
        <v>24</v>
      </c>
      <c r="C301" t="s">
        <v>25</v>
      </c>
      <c r="D301">
        <v>-0.18306692299999999</v>
      </c>
      <c r="E301" s="7">
        <f>ABS(D301)</f>
        <v>0.18306692299999999</v>
      </c>
      <c r="F301">
        <v>0.19711379900000001</v>
      </c>
      <c r="G301">
        <v>146</v>
      </c>
      <c r="H301">
        <v>28</v>
      </c>
      <c r="I301">
        <v>0.35459031400000002</v>
      </c>
      <c r="J301">
        <v>0.78239986699999997</v>
      </c>
      <c r="K301">
        <f>IF(C301=C300,K300+1,1)</f>
        <v>1</v>
      </c>
      <c r="L301">
        <f>MIN(((374/K301)*I301),L302)</f>
        <v>12.029913156800001</v>
      </c>
      <c r="M301">
        <f>-LOG10(L301)</f>
        <v>-1.0802624922061221</v>
      </c>
    </row>
    <row r="302" spans="1:13" x14ac:dyDescent="0.2">
      <c r="A302" t="s">
        <v>244</v>
      </c>
      <c r="B302" t="s">
        <v>24</v>
      </c>
      <c r="C302" t="s">
        <v>25</v>
      </c>
      <c r="D302">
        <v>-0.18282398399999999</v>
      </c>
      <c r="E302" s="7">
        <f>ABS(D302)</f>
        <v>0.18282398399999999</v>
      </c>
      <c r="F302">
        <v>0.19850019499999999</v>
      </c>
      <c r="G302">
        <v>146</v>
      </c>
      <c r="H302">
        <v>85</v>
      </c>
      <c r="I302">
        <v>0.358587667</v>
      </c>
      <c r="J302">
        <v>0.78825012699999997</v>
      </c>
      <c r="K302">
        <f>IF(C302=C301,K301+1,1)</f>
        <v>2</v>
      </c>
      <c r="L302">
        <f>MIN(((374/K302)*I302),L303)</f>
        <v>12.029913156800001</v>
      </c>
      <c r="M302">
        <f>-LOG10(L302)</f>
        <v>-1.0802624922061221</v>
      </c>
    </row>
    <row r="303" spans="1:13" x14ac:dyDescent="0.2">
      <c r="A303" t="s">
        <v>249</v>
      </c>
      <c r="B303" t="s">
        <v>24</v>
      </c>
      <c r="C303" t="s">
        <v>25</v>
      </c>
      <c r="D303">
        <v>0.182731752</v>
      </c>
      <c r="E303" s="7">
        <f>ABS(D303)</f>
        <v>0.182731752</v>
      </c>
      <c r="F303">
        <v>0.19918092400000001</v>
      </c>
      <c r="G303">
        <v>146</v>
      </c>
      <c r="H303">
        <v>17</v>
      </c>
      <c r="I303">
        <v>0.36046941700000001</v>
      </c>
      <c r="J303">
        <v>0.78839510000000002</v>
      </c>
      <c r="K303">
        <f>IF(C303=C302,K302+1,1)</f>
        <v>3</v>
      </c>
      <c r="L303">
        <f>MIN(((374/K303)*I303),L304)</f>
        <v>12.029913156800001</v>
      </c>
      <c r="M303">
        <f>-LOG10(L303)</f>
        <v>-1.0802624922061221</v>
      </c>
    </row>
    <row r="304" spans="1:13" x14ac:dyDescent="0.2">
      <c r="A304" t="s">
        <v>194</v>
      </c>
      <c r="B304" t="s">
        <v>24</v>
      </c>
      <c r="C304" t="s">
        <v>25</v>
      </c>
      <c r="D304">
        <v>-0.18261876899999999</v>
      </c>
      <c r="E304" s="7">
        <f>ABS(D304)</f>
        <v>0.18261876899999999</v>
      </c>
      <c r="F304">
        <v>0.14150221199999999</v>
      </c>
      <c r="G304">
        <v>146</v>
      </c>
      <c r="H304">
        <v>17</v>
      </c>
      <c r="I304">
        <v>0.198934946</v>
      </c>
      <c r="J304">
        <v>0.67946730300000002</v>
      </c>
      <c r="K304">
        <f>IF(C304=C303,K303+1,1)</f>
        <v>4</v>
      </c>
      <c r="L304">
        <f>MIN(((374/K304)*I304),L305)</f>
        <v>12.029913156800001</v>
      </c>
      <c r="M304">
        <f>-LOG10(L304)</f>
        <v>-1.0802624922061221</v>
      </c>
    </row>
    <row r="305" spans="1:13" x14ac:dyDescent="0.2">
      <c r="A305" t="s">
        <v>134</v>
      </c>
      <c r="B305" t="s">
        <v>10</v>
      </c>
      <c r="C305" t="s">
        <v>11</v>
      </c>
      <c r="D305">
        <v>0.18255080500000001</v>
      </c>
      <c r="E305" s="7">
        <f>ABS(D305)</f>
        <v>0.18255080500000001</v>
      </c>
      <c r="F305">
        <v>0.10240287300000001</v>
      </c>
      <c r="G305">
        <v>146</v>
      </c>
      <c r="H305">
        <v>16</v>
      </c>
      <c r="I305">
        <v>7.6761309E-2</v>
      </c>
      <c r="J305">
        <v>0.42768065999999999</v>
      </c>
      <c r="K305">
        <f>IF(C305=C304,K304+1,1)</f>
        <v>1</v>
      </c>
      <c r="L305">
        <f>MIN(((374/K305)*I305),L306)</f>
        <v>12.029913156800001</v>
      </c>
      <c r="M305">
        <f>-LOG10(L305)</f>
        <v>-1.0802624922061221</v>
      </c>
    </row>
    <row r="306" spans="1:13" x14ac:dyDescent="0.2">
      <c r="A306" t="s">
        <v>183</v>
      </c>
      <c r="B306" t="s">
        <v>10</v>
      </c>
      <c r="C306" t="s">
        <v>11</v>
      </c>
      <c r="D306">
        <v>0.182455959</v>
      </c>
      <c r="E306" s="7">
        <f>ABS(D306)</f>
        <v>0.182455959</v>
      </c>
      <c r="F306">
        <v>0.12976589599999999</v>
      </c>
      <c r="G306">
        <v>146</v>
      </c>
      <c r="H306">
        <v>21</v>
      </c>
      <c r="I306">
        <v>0.16188161600000001</v>
      </c>
      <c r="J306">
        <v>0.59944281600000004</v>
      </c>
      <c r="K306">
        <f>IF(C306=C305,K305+1,1)</f>
        <v>2</v>
      </c>
      <c r="L306">
        <f>MIN(((374/K306)*I306),L307)</f>
        <v>12.029913156800001</v>
      </c>
      <c r="M306">
        <f>-LOG10(L306)</f>
        <v>-1.0802624922061221</v>
      </c>
    </row>
    <row r="307" spans="1:13" x14ac:dyDescent="0.2">
      <c r="A307" t="s">
        <v>198</v>
      </c>
      <c r="B307" t="s">
        <v>24</v>
      </c>
      <c r="C307" t="s">
        <v>25</v>
      </c>
      <c r="D307">
        <v>-0.18216152999999999</v>
      </c>
      <c r="E307" s="7">
        <f>ABS(D307)</f>
        <v>0.18216152999999999</v>
      </c>
      <c r="F307">
        <v>0.25489277399999999</v>
      </c>
      <c r="G307">
        <v>146</v>
      </c>
      <c r="H307">
        <v>50</v>
      </c>
      <c r="I307">
        <v>0.47598453699999999</v>
      </c>
      <c r="J307">
        <v>0.84421080100000001</v>
      </c>
      <c r="K307">
        <f>IF(C307=C306,K306+1,1)</f>
        <v>1</v>
      </c>
      <c r="L307">
        <f>MIN(((374/K307)*I307),L308)</f>
        <v>12.029913156800001</v>
      </c>
      <c r="M307">
        <f>-LOG10(L307)</f>
        <v>-1.0802624922061221</v>
      </c>
    </row>
    <row r="308" spans="1:13" x14ac:dyDescent="0.2">
      <c r="A308" t="s">
        <v>232</v>
      </c>
      <c r="B308" t="s">
        <v>10</v>
      </c>
      <c r="C308" t="s">
        <v>11</v>
      </c>
      <c r="D308">
        <v>-0.182134608</v>
      </c>
      <c r="E308" s="7">
        <f>ABS(D308)</f>
        <v>0.182134608</v>
      </c>
      <c r="F308">
        <v>0.16312729400000001</v>
      </c>
      <c r="G308">
        <v>146</v>
      </c>
      <c r="H308">
        <v>33</v>
      </c>
      <c r="I308">
        <v>0.26607289299999998</v>
      </c>
      <c r="J308">
        <v>0.73712045800000003</v>
      </c>
      <c r="K308">
        <f>IF(C308=C307,K307+1,1)</f>
        <v>1</v>
      </c>
      <c r="L308">
        <f>MIN(((374/K308)*I308),L309)</f>
        <v>12.029913156800001</v>
      </c>
      <c r="M308">
        <f>-LOG10(L308)</f>
        <v>-1.0802624922061221</v>
      </c>
    </row>
    <row r="309" spans="1:13" x14ac:dyDescent="0.2">
      <c r="A309" t="s">
        <v>261</v>
      </c>
      <c r="B309" t="s">
        <v>24</v>
      </c>
      <c r="C309" t="s">
        <v>25</v>
      </c>
      <c r="D309">
        <v>-0.181969298</v>
      </c>
      <c r="E309" s="7">
        <f>ABS(D309)</f>
        <v>0.181969298</v>
      </c>
      <c r="F309">
        <v>0.185871972</v>
      </c>
      <c r="G309">
        <v>146</v>
      </c>
      <c r="H309">
        <v>100</v>
      </c>
      <c r="I309">
        <v>0.32923163799999999</v>
      </c>
      <c r="J309">
        <v>0.77199142799999998</v>
      </c>
      <c r="K309">
        <f>IF(C309=C308,K308+1,1)</f>
        <v>1</v>
      </c>
      <c r="L309">
        <f>MIN(((374/K309)*I309),L310)</f>
        <v>12.029913156800001</v>
      </c>
      <c r="M309">
        <f>-LOG10(L309)</f>
        <v>-1.0802624922061221</v>
      </c>
    </row>
    <row r="310" spans="1:13" x14ac:dyDescent="0.2">
      <c r="A310" t="s">
        <v>278</v>
      </c>
      <c r="B310" t="s">
        <v>10</v>
      </c>
      <c r="C310" t="s">
        <v>11</v>
      </c>
      <c r="D310">
        <v>-0.181066848</v>
      </c>
      <c r="E310" s="7">
        <f>ABS(D310)</f>
        <v>0.181066848</v>
      </c>
      <c r="F310">
        <v>0.38194069899999999</v>
      </c>
      <c r="G310">
        <v>146</v>
      </c>
      <c r="H310">
        <v>113</v>
      </c>
      <c r="I310">
        <v>0.63617262699999999</v>
      </c>
      <c r="J310">
        <v>0.88779314399999998</v>
      </c>
      <c r="K310">
        <f>IF(C310=C309,K309+1,1)</f>
        <v>1</v>
      </c>
      <c r="L310">
        <f>MIN(((374/K310)*I310),L311)</f>
        <v>12.029913156800001</v>
      </c>
      <c r="M310">
        <f>-LOG10(L310)</f>
        <v>-1.0802624922061221</v>
      </c>
    </row>
    <row r="311" spans="1:13" x14ac:dyDescent="0.2">
      <c r="A311" t="s">
        <v>210</v>
      </c>
      <c r="B311" t="s">
        <v>24</v>
      </c>
      <c r="C311" t="s">
        <v>25</v>
      </c>
      <c r="D311">
        <v>-0.180476424</v>
      </c>
      <c r="E311" s="7">
        <f>ABS(D311)</f>
        <v>0.180476424</v>
      </c>
      <c r="F311">
        <v>0.149130335</v>
      </c>
      <c r="G311">
        <v>146</v>
      </c>
      <c r="H311">
        <v>19</v>
      </c>
      <c r="I311">
        <v>0.22820162299999999</v>
      </c>
      <c r="J311">
        <v>0.70642057999999996</v>
      </c>
      <c r="K311">
        <f>IF(C311=C310,K310+1,1)</f>
        <v>1</v>
      </c>
      <c r="L311">
        <f>MIN(((374/K311)*I311),L312)</f>
        <v>12.029913156800001</v>
      </c>
      <c r="M311">
        <f>-LOG10(L311)</f>
        <v>-1.0802624922061221</v>
      </c>
    </row>
    <row r="312" spans="1:13" x14ac:dyDescent="0.2">
      <c r="A312" t="s">
        <v>17</v>
      </c>
      <c r="B312" t="s">
        <v>24</v>
      </c>
      <c r="C312" t="s">
        <v>25</v>
      </c>
      <c r="D312">
        <v>0.18021014399999999</v>
      </c>
      <c r="E312" s="7">
        <f>ABS(D312)</f>
        <v>0.18021014399999999</v>
      </c>
      <c r="F312">
        <v>0.28324927100000002</v>
      </c>
      <c r="G312">
        <v>146</v>
      </c>
      <c r="H312">
        <v>132</v>
      </c>
      <c r="I312">
        <v>0.52564707600000005</v>
      </c>
      <c r="J312">
        <v>0.85640127899999996</v>
      </c>
      <c r="K312">
        <f>IF(C312=C311,K311+1,1)</f>
        <v>2</v>
      </c>
      <c r="L312">
        <f>MIN(((374/K312)*I312),L313)</f>
        <v>12.029913156800001</v>
      </c>
      <c r="M312">
        <f>-LOG10(L312)</f>
        <v>-1.0802624922061221</v>
      </c>
    </row>
    <row r="313" spans="1:13" x14ac:dyDescent="0.2">
      <c r="A313" t="s">
        <v>283</v>
      </c>
      <c r="B313" t="s">
        <v>24</v>
      </c>
      <c r="C313" t="s">
        <v>25</v>
      </c>
      <c r="D313">
        <v>-0.179552294</v>
      </c>
      <c r="E313" s="7">
        <f>ABS(D313)</f>
        <v>0.179552294</v>
      </c>
      <c r="F313">
        <v>0.212104719</v>
      </c>
      <c r="G313">
        <v>146</v>
      </c>
      <c r="H313">
        <v>27</v>
      </c>
      <c r="I313">
        <v>0.39867343300000002</v>
      </c>
      <c r="J313">
        <v>0.82293497000000004</v>
      </c>
      <c r="K313">
        <f>IF(C313=C312,K312+1,1)</f>
        <v>3</v>
      </c>
      <c r="L313">
        <f>MIN(((374/K313)*I313),L314)</f>
        <v>12.029913156800001</v>
      </c>
      <c r="M313">
        <f>-LOG10(L313)</f>
        <v>-1.0802624922061221</v>
      </c>
    </row>
    <row r="314" spans="1:13" x14ac:dyDescent="0.2">
      <c r="A314" t="s">
        <v>195</v>
      </c>
      <c r="B314" t="s">
        <v>24</v>
      </c>
      <c r="C314" t="s">
        <v>25</v>
      </c>
      <c r="D314">
        <v>-0.17940737700000001</v>
      </c>
      <c r="E314" s="7">
        <f>ABS(D314)</f>
        <v>0.17940737700000001</v>
      </c>
      <c r="F314">
        <v>0.26403611500000002</v>
      </c>
      <c r="G314">
        <v>146</v>
      </c>
      <c r="H314">
        <v>90</v>
      </c>
      <c r="I314">
        <v>0.49793188300000002</v>
      </c>
      <c r="J314">
        <v>0.85109879300000002</v>
      </c>
      <c r="K314">
        <f>IF(C314=C313,K313+1,1)</f>
        <v>4</v>
      </c>
      <c r="L314">
        <f>MIN(((374/K314)*I314),L315)</f>
        <v>12.029913156800001</v>
      </c>
      <c r="M314">
        <f>-LOG10(L314)</f>
        <v>-1.0802624922061221</v>
      </c>
    </row>
    <row r="315" spans="1:13" x14ac:dyDescent="0.2">
      <c r="A315" t="s">
        <v>347</v>
      </c>
      <c r="B315" t="s">
        <v>10</v>
      </c>
      <c r="C315" t="s">
        <v>11</v>
      </c>
      <c r="D315">
        <v>0.17852617500000001</v>
      </c>
      <c r="E315" s="7">
        <f>ABS(D315)</f>
        <v>0.17852617500000001</v>
      </c>
      <c r="F315">
        <v>0.32918547500000001</v>
      </c>
      <c r="G315">
        <v>146</v>
      </c>
      <c r="H315">
        <v>49</v>
      </c>
      <c r="I315">
        <v>0.58843740300000003</v>
      </c>
      <c r="J315">
        <v>0.86651814100000002</v>
      </c>
      <c r="K315">
        <f>IF(C315=C314,K314+1,1)</f>
        <v>1</v>
      </c>
      <c r="L315">
        <f>MIN(((374/K315)*I315),L316)</f>
        <v>12.029913156800001</v>
      </c>
      <c r="M315">
        <f>-LOG10(L315)</f>
        <v>-1.0802624922061221</v>
      </c>
    </row>
    <row r="316" spans="1:13" x14ac:dyDescent="0.2">
      <c r="A316" t="s">
        <v>178</v>
      </c>
      <c r="B316" t="s">
        <v>24</v>
      </c>
      <c r="C316" t="s">
        <v>25</v>
      </c>
      <c r="D316">
        <v>-0.17708524</v>
      </c>
      <c r="E316" s="7">
        <f>ABS(D316)</f>
        <v>0.17708524</v>
      </c>
      <c r="F316">
        <v>0.12300035199999999</v>
      </c>
      <c r="G316">
        <v>146</v>
      </c>
      <c r="H316">
        <v>23</v>
      </c>
      <c r="I316">
        <v>0.15213409</v>
      </c>
      <c r="J316">
        <v>0.58771335099999999</v>
      </c>
      <c r="K316">
        <f>IF(C316=C315,K315+1,1)</f>
        <v>1</v>
      </c>
      <c r="L316">
        <f>MIN(((374/K316)*I316),L317)</f>
        <v>12.029913156800001</v>
      </c>
      <c r="M316">
        <f>-LOG10(L316)</f>
        <v>-1.0802624922061221</v>
      </c>
    </row>
    <row r="317" spans="1:13" x14ac:dyDescent="0.2">
      <c r="A317" t="s">
        <v>153</v>
      </c>
      <c r="B317" t="s">
        <v>10</v>
      </c>
      <c r="C317" t="s">
        <v>11</v>
      </c>
      <c r="D317">
        <v>0.17618840399999999</v>
      </c>
      <c r="E317" s="7">
        <f>ABS(D317)</f>
        <v>0.17618840399999999</v>
      </c>
      <c r="F317">
        <v>0.108119412</v>
      </c>
      <c r="G317">
        <v>146</v>
      </c>
      <c r="H317">
        <v>15</v>
      </c>
      <c r="I317">
        <v>0.105392782</v>
      </c>
      <c r="J317">
        <v>0.49849875799999999</v>
      </c>
      <c r="K317">
        <f>IF(C317=C316,K316+1,1)</f>
        <v>1</v>
      </c>
      <c r="L317">
        <f>MIN(((374/K317)*I317),L318)</f>
        <v>12.029913156800001</v>
      </c>
      <c r="M317">
        <f>-LOG10(L317)</f>
        <v>-1.0802624922061221</v>
      </c>
    </row>
    <row r="318" spans="1:13" x14ac:dyDescent="0.2">
      <c r="A318" t="s">
        <v>168</v>
      </c>
      <c r="B318" t="s">
        <v>10</v>
      </c>
      <c r="C318" t="s">
        <v>11</v>
      </c>
      <c r="D318">
        <v>0.17573319200000001</v>
      </c>
      <c r="E318" s="7">
        <f>ABS(D318)</f>
        <v>0.17573319200000001</v>
      </c>
      <c r="F318">
        <v>0.13295153900000001</v>
      </c>
      <c r="G318">
        <v>146</v>
      </c>
      <c r="H318">
        <v>18</v>
      </c>
      <c r="I318">
        <v>0.188350774</v>
      </c>
      <c r="J318">
        <v>0.66455839100000003</v>
      </c>
      <c r="K318">
        <f>IF(C318=C317,K317+1,1)</f>
        <v>2</v>
      </c>
      <c r="L318">
        <f>MIN(((374/K318)*I318),L319)</f>
        <v>12.029913156800001</v>
      </c>
      <c r="M318">
        <f>-LOG10(L318)</f>
        <v>-1.0802624922061221</v>
      </c>
    </row>
    <row r="319" spans="1:13" x14ac:dyDescent="0.2">
      <c r="A319" t="s">
        <v>173</v>
      </c>
      <c r="B319" t="s">
        <v>24</v>
      </c>
      <c r="C319" t="s">
        <v>25</v>
      </c>
      <c r="D319">
        <v>0.17561001300000001</v>
      </c>
      <c r="E319" s="7">
        <f>ABS(D319)</f>
        <v>0.17561001300000001</v>
      </c>
      <c r="F319">
        <v>0.124744006</v>
      </c>
      <c r="G319">
        <v>146</v>
      </c>
      <c r="H319">
        <v>26</v>
      </c>
      <c r="I319">
        <v>0.161371338</v>
      </c>
      <c r="J319">
        <v>0.59944281600000004</v>
      </c>
      <c r="K319">
        <f>IF(C319=C318,K318+1,1)</f>
        <v>1</v>
      </c>
      <c r="L319">
        <f>MIN(((374/K319)*I319),L320)</f>
        <v>12.029913156800001</v>
      </c>
      <c r="M319">
        <f>-LOG10(L319)</f>
        <v>-1.0802624922061221</v>
      </c>
    </row>
    <row r="320" spans="1:13" x14ac:dyDescent="0.2">
      <c r="A320" t="s">
        <v>156</v>
      </c>
      <c r="B320" t="s">
        <v>24</v>
      </c>
      <c r="C320" t="s">
        <v>25</v>
      </c>
      <c r="D320">
        <v>-0.17446013199999999</v>
      </c>
      <c r="E320" s="7">
        <f>ABS(D320)</f>
        <v>0.17446013199999999</v>
      </c>
      <c r="F320">
        <v>0.108775868</v>
      </c>
      <c r="G320">
        <v>146</v>
      </c>
      <c r="H320">
        <v>16</v>
      </c>
      <c r="I320">
        <v>0.110953604</v>
      </c>
      <c r="J320">
        <v>0.50605668299999995</v>
      </c>
      <c r="K320">
        <f>IF(C320=C319,K319+1,1)</f>
        <v>2</v>
      </c>
      <c r="L320">
        <f>MIN(((374/K320)*I320),L321)</f>
        <v>12.029913156800001</v>
      </c>
      <c r="M320">
        <f>-LOG10(L320)</f>
        <v>-1.0802624922061221</v>
      </c>
    </row>
    <row r="321" spans="1:13" x14ac:dyDescent="0.2">
      <c r="A321" t="s">
        <v>323</v>
      </c>
      <c r="B321" t="s">
        <v>10</v>
      </c>
      <c r="C321" t="s">
        <v>11</v>
      </c>
      <c r="D321">
        <v>0.17445186500000001</v>
      </c>
      <c r="E321" s="7">
        <f>ABS(D321)</f>
        <v>0.17445186500000001</v>
      </c>
      <c r="F321">
        <v>0.30152703199999997</v>
      </c>
      <c r="G321">
        <v>146</v>
      </c>
      <c r="H321">
        <v>44</v>
      </c>
      <c r="I321">
        <v>0.56379534499999995</v>
      </c>
      <c r="J321">
        <v>0.85640127899999996</v>
      </c>
      <c r="K321">
        <f>IF(C321=C320,K320+1,1)</f>
        <v>1</v>
      </c>
      <c r="L321">
        <f>MIN(((374/K321)*I321),L322)</f>
        <v>12.029913156800001</v>
      </c>
      <c r="M321">
        <f>-LOG10(L321)</f>
        <v>-1.0802624922061221</v>
      </c>
    </row>
    <row r="322" spans="1:13" x14ac:dyDescent="0.2">
      <c r="A322" t="s">
        <v>108</v>
      </c>
      <c r="B322" t="s">
        <v>10</v>
      </c>
      <c r="C322" t="s">
        <v>11</v>
      </c>
      <c r="D322">
        <v>-0.17353465300000001</v>
      </c>
      <c r="E322" s="7">
        <f>ABS(D322)</f>
        <v>0.17353465300000001</v>
      </c>
      <c r="F322">
        <v>0.29196915200000001</v>
      </c>
      <c r="G322">
        <v>146</v>
      </c>
      <c r="H322">
        <v>51</v>
      </c>
      <c r="I322">
        <v>0.55321083500000001</v>
      </c>
      <c r="J322">
        <v>0.85640127899999996</v>
      </c>
      <c r="K322">
        <f>IF(C322=C321,K321+1,1)</f>
        <v>2</v>
      </c>
      <c r="L322">
        <f>MIN(((374/K322)*I322),L323)</f>
        <v>12.029913156800001</v>
      </c>
      <c r="M322">
        <f>-LOG10(L322)</f>
        <v>-1.0802624922061221</v>
      </c>
    </row>
    <row r="323" spans="1:13" x14ac:dyDescent="0.2">
      <c r="A323" t="s">
        <v>96</v>
      </c>
      <c r="B323" t="s">
        <v>24</v>
      </c>
      <c r="C323" t="s">
        <v>25</v>
      </c>
      <c r="D323">
        <v>-0.173448251</v>
      </c>
      <c r="E323" s="7">
        <f>ABS(D323)</f>
        <v>0.173448251</v>
      </c>
      <c r="F323">
        <v>0.14389098</v>
      </c>
      <c r="G323">
        <v>146</v>
      </c>
      <c r="H323">
        <v>56</v>
      </c>
      <c r="I323">
        <v>0.23003426199999999</v>
      </c>
      <c r="J323">
        <v>0.70642057999999996</v>
      </c>
      <c r="K323">
        <f>IF(C323=C322,K322+1,1)</f>
        <v>1</v>
      </c>
      <c r="L323">
        <f>MIN(((374/K323)*I323),L324)</f>
        <v>12.029913156800001</v>
      </c>
      <c r="M323">
        <f>-LOG10(L323)</f>
        <v>-1.0802624922061221</v>
      </c>
    </row>
    <row r="324" spans="1:13" x14ac:dyDescent="0.2">
      <c r="A324" t="s">
        <v>243</v>
      </c>
      <c r="B324" t="s">
        <v>24</v>
      </c>
      <c r="C324" t="s">
        <v>25</v>
      </c>
      <c r="D324">
        <v>-0.172834506</v>
      </c>
      <c r="E324" s="7">
        <f>ABS(D324)</f>
        <v>0.172834506</v>
      </c>
      <c r="F324">
        <v>0.24250529900000001</v>
      </c>
      <c r="G324">
        <v>146</v>
      </c>
      <c r="H324">
        <v>89</v>
      </c>
      <c r="I324">
        <v>0.47719024399999999</v>
      </c>
      <c r="J324">
        <v>0.84421080100000001</v>
      </c>
      <c r="K324">
        <f>IF(C324=C323,K323+1,1)</f>
        <v>2</v>
      </c>
      <c r="L324">
        <f>MIN(((374/K324)*I324),L325)</f>
        <v>12.029913156800001</v>
      </c>
      <c r="M324">
        <f>-LOG10(L324)</f>
        <v>-1.0802624922061221</v>
      </c>
    </row>
    <row r="325" spans="1:13" x14ac:dyDescent="0.2">
      <c r="A325" t="s">
        <v>281</v>
      </c>
      <c r="B325" t="s">
        <v>10</v>
      </c>
      <c r="C325" t="s">
        <v>11</v>
      </c>
      <c r="D325">
        <v>0.169973228</v>
      </c>
      <c r="E325" s="7">
        <f>ABS(D325)</f>
        <v>0.169973228</v>
      </c>
      <c r="F325">
        <v>0.196560759</v>
      </c>
      <c r="G325">
        <v>146</v>
      </c>
      <c r="H325">
        <v>37</v>
      </c>
      <c r="I325">
        <v>0.38863181099999999</v>
      </c>
      <c r="J325">
        <v>0.81200166100000004</v>
      </c>
      <c r="K325">
        <f>IF(C325=C324,K324+1,1)</f>
        <v>1</v>
      </c>
      <c r="L325">
        <f>MIN(((374/K325)*I325),L326)</f>
        <v>12.029913156800001</v>
      </c>
      <c r="M325">
        <f>-LOG10(L325)</f>
        <v>-1.0802624922061221</v>
      </c>
    </row>
    <row r="326" spans="1:13" x14ac:dyDescent="0.2">
      <c r="A326" t="s">
        <v>253</v>
      </c>
      <c r="B326" t="s">
        <v>10</v>
      </c>
      <c r="C326" t="s">
        <v>11</v>
      </c>
      <c r="D326">
        <v>0.16993042899999999</v>
      </c>
      <c r="E326" s="7">
        <f>ABS(D326)</f>
        <v>0.16993042899999999</v>
      </c>
      <c r="F326">
        <v>0.16462722599999999</v>
      </c>
      <c r="G326">
        <v>146</v>
      </c>
      <c r="H326">
        <v>42</v>
      </c>
      <c r="I326">
        <v>0.30371473500000001</v>
      </c>
      <c r="J326">
        <v>0.75236228000000005</v>
      </c>
      <c r="K326">
        <f>IF(C326=C325,K325+1,1)</f>
        <v>2</v>
      </c>
      <c r="L326">
        <f>MIN(((374/K326)*I326),L327)</f>
        <v>12.029913156800001</v>
      </c>
      <c r="M326">
        <f>-LOG10(L326)</f>
        <v>-1.0802624922061221</v>
      </c>
    </row>
    <row r="327" spans="1:13" x14ac:dyDescent="0.2">
      <c r="A327" t="s">
        <v>129</v>
      </c>
      <c r="B327" t="s">
        <v>24</v>
      </c>
      <c r="C327" t="s">
        <v>25</v>
      </c>
      <c r="D327">
        <v>0.168678615</v>
      </c>
      <c r="E327" s="7">
        <f>ABS(D327)</f>
        <v>0.168678615</v>
      </c>
      <c r="F327">
        <v>0.22784582</v>
      </c>
      <c r="G327">
        <v>146</v>
      </c>
      <c r="H327">
        <v>80</v>
      </c>
      <c r="I327">
        <v>0.460320165</v>
      </c>
      <c r="J327">
        <v>0.84421080100000001</v>
      </c>
      <c r="K327">
        <f>IF(C327=C326,K326+1,1)</f>
        <v>1</v>
      </c>
      <c r="L327">
        <f>MIN(((374/K327)*I327),L328)</f>
        <v>12.029913156800001</v>
      </c>
      <c r="M327">
        <f>-LOG10(L327)</f>
        <v>-1.0802624922061221</v>
      </c>
    </row>
    <row r="328" spans="1:13" x14ac:dyDescent="0.2">
      <c r="A328" t="s">
        <v>220</v>
      </c>
      <c r="B328" t="s">
        <v>10</v>
      </c>
      <c r="C328" t="s">
        <v>11</v>
      </c>
      <c r="D328">
        <v>0.16758287699999999</v>
      </c>
      <c r="E328" s="7">
        <f>ABS(D328)</f>
        <v>0.16758287699999999</v>
      </c>
      <c r="F328">
        <v>0.144899681</v>
      </c>
      <c r="G328">
        <v>146</v>
      </c>
      <c r="H328">
        <v>25</v>
      </c>
      <c r="I328">
        <v>0.24938709100000001</v>
      </c>
      <c r="J328">
        <v>0.716456647</v>
      </c>
      <c r="K328">
        <f>IF(C328=C327,K327+1,1)</f>
        <v>1</v>
      </c>
      <c r="L328">
        <f>MIN(((374/K328)*I328),L329)</f>
        <v>12.029913156800001</v>
      </c>
      <c r="M328">
        <f>-LOG10(L328)</f>
        <v>-1.0802624922061221</v>
      </c>
    </row>
    <row r="329" spans="1:13" x14ac:dyDescent="0.2">
      <c r="A329" t="s">
        <v>336</v>
      </c>
      <c r="B329" t="s">
        <v>10</v>
      </c>
      <c r="C329" t="s">
        <v>11</v>
      </c>
      <c r="D329">
        <v>0.16746867700000001</v>
      </c>
      <c r="E329" s="7">
        <f>ABS(D329)</f>
        <v>0.16746867700000001</v>
      </c>
      <c r="F329">
        <v>0.26997686599999998</v>
      </c>
      <c r="G329">
        <v>146</v>
      </c>
      <c r="H329">
        <v>27</v>
      </c>
      <c r="I329">
        <v>0.53604264700000004</v>
      </c>
      <c r="J329">
        <v>0.85640127899999996</v>
      </c>
      <c r="K329">
        <f>IF(C329=C328,K328+1,1)</f>
        <v>2</v>
      </c>
      <c r="L329">
        <f>MIN(((374/K329)*I329),L330)</f>
        <v>12.029913156800001</v>
      </c>
      <c r="M329">
        <f>-LOG10(L329)</f>
        <v>-1.0802624922061221</v>
      </c>
    </row>
    <row r="330" spans="1:13" x14ac:dyDescent="0.2">
      <c r="A330" t="s">
        <v>207</v>
      </c>
      <c r="B330" t="s">
        <v>24</v>
      </c>
      <c r="C330" t="s">
        <v>25</v>
      </c>
      <c r="D330">
        <v>-0.16685212399999999</v>
      </c>
      <c r="E330" s="7">
        <f>ABS(D330)</f>
        <v>0.16685212399999999</v>
      </c>
      <c r="F330">
        <v>0.135790033</v>
      </c>
      <c r="G330">
        <v>146</v>
      </c>
      <c r="H330">
        <v>19</v>
      </c>
      <c r="I330">
        <v>0.22118349100000001</v>
      </c>
      <c r="J330">
        <v>0.701039199</v>
      </c>
      <c r="K330">
        <f>IF(C330=C329,K329+1,1)</f>
        <v>1</v>
      </c>
      <c r="L330">
        <f>MIN(((374/K330)*I330),L331)</f>
        <v>12.029913156800001</v>
      </c>
      <c r="M330">
        <f>-LOG10(L330)</f>
        <v>-1.0802624922061221</v>
      </c>
    </row>
    <row r="331" spans="1:13" x14ac:dyDescent="0.2">
      <c r="A331" t="s">
        <v>336</v>
      </c>
      <c r="B331" t="s">
        <v>24</v>
      </c>
      <c r="C331" t="s">
        <v>25</v>
      </c>
      <c r="D331">
        <v>0.16578801100000001</v>
      </c>
      <c r="E331" s="7">
        <f>ABS(D331)</f>
        <v>0.16578801100000001</v>
      </c>
      <c r="F331">
        <v>0.252351726</v>
      </c>
      <c r="G331">
        <v>146</v>
      </c>
      <c r="H331">
        <v>27</v>
      </c>
      <c r="I331">
        <v>0.51225488200000002</v>
      </c>
      <c r="J331">
        <v>0.85640127899999996</v>
      </c>
      <c r="K331">
        <f>IF(C331=C330,K330+1,1)</f>
        <v>2</v>
      </c>
      <c r="L331">
        <f>MIN(((374/K331)*I331),L332)</f>
        <v>12.029913156800001</v>
      </c>
      <c r="M331">
        <f>-LOG10(L331)</f>
        <v>-1.0802624922061221</v>
      </c>
    </row>
    <row r="332" spans="1:13" x14ac:dyDescent="0.2">
      <c r="A332" t="s">
        <v>326</v>
      </c>
      <c r="B332" t="s">
        <v>10</v>
      </c>
      <c r="C332" t="s">
        <v>11</v>
      </c>
      <c r="D332">
        <v>-0.16418875999999999</v>
      </c>
      <c r="E332" s="7">
        <f>ABS(D332)</f>
        <v>0.16418875999999999</v>
      </c>
      <c r="F332">
        <v>0.275039902</v>
      </c>
      <c r="G332">
        <v>146</v>
      </c>
      <c r="H332">
        <v>31</v>
      </c>
      <c r="I332">
        <v>0.55147579000000002</v>
      </c>
      <c r="J332">
        <v>0.85640127899999996</v>
      </c>
      <c r="K332">
        <f>IF(C332=C331,K331+1,1)</f>
        <v>1</v>
      </c>
      <c r="L332">
        <f>MIN(((374/K332)*I332),L333)</f>
        <v>12.029913156800001</v>
      </c>
      <c r="M332">
        <f>-LOG10(L332)</f>
        <v>-1.0802624922061221</v>
      </c>
    </row>
    <row r="333" spans="1:13" x14ac:dyDescent="0.2">
      <c r="A333" t="s">
        <v>236</v>
      </c>
      <c r="B333" t="s">
        <v>10</v>
      </c>
      <c r="C333" t="s">
        <v>11</v>
      </c>
      <c r="D333">
        <v>0.16395237200000001</v>
      </c>
      <c r="E333" s="7">
        <f>ABS(D333)</f>
        <v>0.16395237200000001</v>
      </c>
      <c r="F333">
        <v>0.28006057400000001</v>
      </c>
      <c r="G333">
        <v>146</v>
      </c>
      <c r="H333">
        <v>85</v>
      </c>
      <c r="I333">
        <v>0.55918969799999996</v>
      </c>
      <c r="J333">
        <v>0.85640127899999996</v>
      </c>
      <c r="K333">
        <f>IF(C333=C332,K332+1,1)</f>
        <v>2</v>
      </c>
      <c r="L333">
        <f>MIN(((374/K333)*I333),L334)</f>
        <v>12.029913156800001</v>
      </c>
      <c r="M333">
        <f>-LOG10(L333)</f>
        <v>-1.0802624922061221</v>
      </c>
    </row>
    <row r="334" spans="1:13" x14ac:dyDescent="0.2">
      <c r="A334" t="s">
        <v>347</v>
      </c>
      <c r="B334" t="s">
        <v>24</v>
      </c>
      <c r="C334" t="s">
        <v>25</v>
      </c>
      <c r="D334">
        <v>-0.163636948</v>
      </c>
      <c r="E334" s="7">
        <f>ABS(D334)</f>
        <v>0.163636948</v>
      </c>
      <c r="F334">
        <v>0.30769496699999999</v>
      </c>
      <c r="G334">
        <v>146</v>
      </c>
      <c r="H334">
        <v>49</v>
      </c>
      <c r="I334">
        <v>0.59567901999999995</v>
      </c>
      <c r="J334">
        <v>0.868914827</v>
      </c>
      <c r="K334">
        <f>IF(C334=C333,K333+1,1)</f>
        <v>1</v>
      </c>
      <c r="L334">
        <f>MIN(((374/K334)*I334),L335)</f>
        <v>12.029913156800001</v>
      </c>
      <c r="M334">
        <f>-LOG10(L334)</f>
        <v>-1.0802624922061221</v>
      </c>
    </row>
    <row r="335" spans="1:13" x14ac:dyDescent="0.2">
      <c r="A335" t="s">
        <v>320</v>
      </c>
      <c r="B335" t="s">
        <v>24</v>
      </c>
      <c r="C335" t="s">
        <v>25</v>
      </c>
      <c r="D335">
        <v>-0.16343396099999999</v>
      </c>
      <c r="E335" s="7">
        <f>ABS(D335)</f>
        <v>0.16343396099999999</v>
      </c>
      <c r="F335">
        <v>0.26544743900000001</v>
      </c>
      <c r="G335">
        <v>146</v>
      </c>
      <c r="H335">
        <v>52</v>
      </c>
      <c r="I335">
        <v>0.53907628200000002</v>
      </c>
      <c r="J335">
        <v>0.85640127899999996</v>
      </c>
      <c r="K335">
        <f>IF(C335=C334,K334+1,1)</f>
        <v>2</v>
      </c>
      <c r="L335">
        <f>MIN(((374/K335)*I335),L336)</f>
        <v>12.029913156800001</v>
      </c>
      <c r="M335">
        <f>-LOG10(L335)</f>
        <v>-1.0802624922061221</v>
      </c>
    </row>
    <row r="336" spans="1:13" x14ac:dyDescent="0.2">
      <c r="A336" t="s">
        <v>222</v>
      </c>
      <c r="B336" t="s">
        <v>10</v>
      </c>
      <c r="C336" t="s">
        <v>11</v>
      </c>
      <c r="D336">
        <v>0.16305677900000001</v>
      </c>
      <c r="E336" s="7">
        <f>ABS(D336)</f>
        <v>0.16305677900000001</v>
      </c>
      <c r="F336">
        <v>0.14018083100000001</v>
      </c>
      <c r="G336">
        <v>146</v>
      </c>
      <c r="H336">
        <v>31</v>
      </c>
      <c r="I336">
        <v>0.246690203</v>
      </c>
      <c r="J336">
        <v>0.716456647</v>
      </c>
      <c r="K336">
        <f>IF(C336=C335,K335+1,1)</f>
        <v>1</v>
      </c>
      <c r="L336">
        <f>MIN(((374/K336)*I336),L337)</f>
        <v>12.029913156800001</v>
      </c>
      <c r="M336">
        <f>-LOG10(L336)</f>
        <v>-1.0802624922061221</v>
      </c>
    </row>
    <row r="337" spans="1:13" x14ac:dyDescent="0.2">
      <c r="A337" t="s">
        <v>348</v>
      </c>
      <c r="B337" t="s">
        <v>10</v>
      </c>
      <c r="C337" t="s">
        <v>11</v>
      </c>
      <c r="D337">
        <v>-0.162818516</v>
      </c>
      <c r="E337" s="7">
        <f>ABS(D337)</f>
        <v>0.162818516</v>
      </c>
      <c r="F337">
        <v>0.315061761</v>
      </c>
      <c r="G337">
        <v>146</v>
      </c>
      <c r="H337">
        <v>44</v>
      </c>
      <c r="I337">
        <v>0.60610607400000005</v>
      </c>
      <c r="J337">
        <v>0.868914827</v>
      </c>
      <c r="K337">
        <f>IF(C337=C336,K336+1,1)</f>
        <v>2</v>
      </c>
      <c r="L337">
        <f>MIN(((374/K337)*I337),L338)</f>
        <v>12.029913156800001</v>
      </c>
      <c r="M337">
        <f>-LOG10(L337)</f>
        <v>-1.0802624922061221</v>
      </c>
    </row>
    <row r="338" spans="1:13" x14ac:dyDescent="0.2">
      <c r="A338" t="s">
        <v>223</v>
      </c>
      <c r="B338" t="s">
        <v>24</v>
      </c>
      <c r="C338" t="s">
        <v>25</v>
      </c>
      <c r="D338">
        <v>0.16214353100000001</v>
      </c>
      <c r="E338" s="7">
        <f>ABS(D338)</f>
        <v>0.16214353100000001</v>
      </c>
      <c r="F338">
        <v>0.23289726699999999</v>
      </c>
      <c r="G338">
        <v>146</v>
      </c>
      <c r="H338">
        <v>38</v>
      </c>
      <c r="I338">
        <v>0.48743240100000002</v>
      </c>
      <c r="J338">
        <v>0.85065415499999997</v>
      </c>
      <c r="K338">
        <f>IF(C338=C337,K337+1,1)</f>
        <v>1</v>
      </c>
      <c r="L338">
        <f>MIN(((374/K338)*I338),L339)</f>
        <v>12.029913156800001</v>
      </c>
      <c r="M338">
        <f>-LOG10(L338)</f>
        <v>-1.0802624922061221</v>
      </c>
    </row>
    <row r="339" spans="1:13" x14ac:dyDescent="0.2">
      <c r="A339" t="s">
        <v>297</v>
      </c>
      <c r="B339" t="s">
        <v>10</v>
      </c>
      <c r="C339" t="s">
        <v>11</v>
      </c>
      <c r="D339">
        <v>0.16164752700000001</v>
      </c>
      <c r="E339" s="7">
        <f>ABS(D339)</f>
        <v>0.16164752700000001</v>
      </c>
      <c r="F339">
        <v>0.203424612</v>
      </c>
      <c r="G339">
        <v>146</v>
      </c>
      <c r="H339">
        <v>92</v>
      </c>
      <c r="I339">
        <v>0.428144935</v>
      </c>
      <c r="J339">
        <v>0.83666758600000002</v>
      </c>
      <c r="K339">
        <f>IF(C339=C338,K338+1,1)</f>
        <v>1</v>
      </c>
      <c r="L339">
        <f>MIN(((374/K339)*I339),L340)</f>
        <v>12.029913156800001</v>
      </c>
      <c r="M339">
        <f>-LOG10(L339)</f>
        <v>-1.0802624922061221</v>
      </c>
    </row>
    <row r="340" spans="1:13" x14ac:dyDescent="0.2">
      <c r="A340" t="s">
        <v>218</v>
      </c>
      <c r="B340" t="s">
        <v>10</v>
      </c>
      <c r="C340" t="s">
        <v>11</v>
      </c>
      <c r="D340">
        <v>-0.161344921</v>
      </c>
      <c r="E340" s="7">
        <f>ABS(D340)</f>
        <v>0.161344921</v>
      </c>
      <c r="F340">
        <v>0.13708826499999999</v>
      </c>
      <c r="G340">
        <v>146</v>
      </c>
      <c r="H340">
        <v>18</v>
      </c>
      <c r="I340">
        <v>0.241174008</v>
      </c>
      <c r="J340">
        <v>0.71505164399999999</v>
      </c>
      <c r="K340">
        <f>IF(C340=C339,K339+1,1)</f>
        <v>2</v>
      </c>
      <c r="L340">
        <f>MIN(((374/K340)*I340),L341)</f>
        <v>12.029913156800001</v>
      </c>
      <c r="M340">
        <f>-LOG10(L340)</f>
        <v>-1.0802624922061221</v>
      </c>
    </row>
    <row r="341" spans="1:13" x14ac:dyDescent="0.2">
      <c r="A341" t="s">
        <v>76</v>
      </c>
      <c r="B341" t="s">
        <v>24</v>
      </c>
      <c r="C341" t="s">
        <v>25</v>
      </c>
      <c r="D341">
        <v>-0.16131909699999999</v>
      </c>
      <c r="E341" s="7">
        <f>ABS(D341)</f>
        <v>0.16131909699999999</v>
      </c>
      <c r="F341">
        <v>7.6281715999999999E-2</v>
      </c>
      <c r="G341">
        <v>146</v>
      </c>
      <c r="H341">
        <v>15</v>
      </c>
      <c r="I341">
        <v>3.6183076000000002E-2</v>
      </c>
      <c r="J341">
        <v>0.285327573</v>
      </c>
      <c r="K341">
        <f>IF(C341=C340,K340+1,1)</f>
        <v>1</v>
      </c>
      <c r="L341">
        <f>MIN(((374/K341)*I341),L342)</f>
        <v>12.029913156800001</v>
      </c>
      <c r="M341">
        <f>-LOG10(L341)</f>
        <v>-1.0802624922061221</v>
      </c>
    </row>
    <row r="342" spans="1:13" x14ac:dyDescent="0.2">
      <c r="A342" t="s">
        <v>185</v>
      </c>
      <c r="B342" t="s">
        <v>10</v>
      </c>
      <c r="C342" t="s">
        <v>11</v>
      </c>
      <c r="D342">
        <v>0.16116751200000001</v>
      </c>
      <c r="E342" s="7">
        <f>ABS(D342)</f>
        <v>0.16116751200000001</v>
      </c>
      <c r="F342">
        <v>0.16853652099999999</v>
      </c>
      <c r="G342">
        <v>146</v>
      </c>
      <c r="H342">
        <v>49</v>
      </c>
      <c r="I342">
        <v>0.34054641699999999</v>
      </c>
      <c r="J342">
        <v>0.77889163400000005</v>
      </c>
      <c r="K342">
        <f>IF(C342=C341,K341+1,1)</f>
        <v>1</v>
      </c>
      <c r="L342">
        <f>MIN(((374/K342)*I342),L343)</f>
        <v>12.029913156800001</v>
      </c>
      <c r="M342">
        <f>-LOG10(L342)</f>
        <v>-1.0802624922061221</v>
      </c>
    </row>
    <row r="343" spans="1:13" x14ac:dyDescent="0.2">
      <c r="A343" t="s">
        <v>130</v>
      </c>
      <c r="B343" t="s">
        <v>24</v>
      </c>
      <c r="C343" t="s">
        <v>25</v>
      </c>
      <c r="D343">
        <v>0.160910839</v>
      </c>
      <c r="E343" s="7">
        <f>ABS(D343)</f>
        <v>0.160910839</v>
      </c>
      <c r="F343">
        <v>0.136188948</v>
      </c>
      <c r="G343">
        <v>146</v>
      </c>
      <c r="H343">
        <v>26</v>
      </c>
      <c r="I343">
        <v>0.23935485300000001</v>
      </c>
      <c r="J343">
        <v>0.71505164399999999</v>
      </c>
      <c r="K343">
        <f>IF(C343=C342,K342+1,1)</f>
        <v>1</v>
      </c>
      <c r="L343">
        <f>MIN(((374/K343)*I343),L344)</f>
        <v>12.029913156800001</v>
      </c>
      <c r="M343">
        <f>-LOG10(L343)</f>
        <v>-1.0802624922061221</v>
      </c>
    </row>
    <row r="344" spans="1:13" x14ac:dyDescent="0.2">
      <c r="A344" t="s">
        <v>174</v>
      </c>
      <c r="B344" t="s">
        <v>10</v>
      </c>
      <c r="C344" t="s">
        <v>11</v>
      </c>
      <c r="D344">
        <v>-0.16086632300000001</v>
      </c>
      <c r="E344" s="7">
        <f>ABS(D344)</f>
        <v>0.16086632300000001</v>
      </c>
      <c r="F344">
        <v>0.109970489</v>
      </c>
      <c r="G344">
        <v>146</v>
      </c>
      <c r="H344">
        <v>18</v>
      </c>
      <c r="I344">
        <v>0.145712816</v>
      </c>
      <c r="J344">
        <v>0.58285126200000004</v>
      </c>
      <c r="K344">
        <f>IF(C344=C343,K343+1,1)</f>
        <v>1</v>
      </c>
      <c r="L344">
        <f>MIN(((374/K344)*I344),L345)</f>
        <v>12.029913156800001</v>
      </c>
      <c r="M344">
        <f>-LOG10(L344)</f>
        <v>-1.0802624922061221</v>
      </c>
    </row>
    <row r="345" spans="1:13" x14ac:dyDescent="0.2">
      <c r="A345" t="s">
        <v>219</v>
      </c>
      <c r="B345" t="s">
        <v>10</v>
      </c>
      <c r="C345" t="s">
        <v>11</v>
      </c>
      <c r="D345">
        <v>0.158860258</v>
      </c>
      <c r="E345" s="7">
        <f>ABS(D345)</f>
        <v>0.158860258</v>
      </c>
      <c r="F345">
        <v>0.13557743899999999</v>
      </c>
      <c r="G345">
        <v>146</v>
      </c>
      <c r="H345">
        <v>33</v>
      </c>
      <c r="I345">
        <v>0.24325371000000001</v>
      </c>
      <c r="J345">
        <v>0.71635344599999995</v>
      </c>
      <c r="K345">
        <f>IF(C345=C344,K344+1,1)</f>
        <v>2</v>
      </c>
      <c r="L345">
        <f>MIN(((374/K345)*I345),L346)</f>
        <v>12.029913156800001</v>
      </c>
      <c r="M345">
        <f>-LOG10(L345)</f>
        <v>-1.0802624922061221</v>
      </c>
    </row>
    <row r="346" spans="1:13" x14ac:dyDescent="0.2">
      <c r="A346" t="s">
        <v>74</v>
      </c>
      <c r="B346" t="s">
        <v>24</v>
      </c>
      <c r="C346" t="s">
        <v>25</v>
      </c>
      <c r="D346">
        <v>0.157568816</v>
      </c>
      <c r="E346" s="7">
        <f>ABS(D346)</f>
        <v>0.157568816</v>
      </c>
      <c r="F346">
        <v>0.166674724</v>
      </c>
      <c r="G346">
        <v>146</v>
      </c>
      <c r="H346">
        <v>75</v>
      </c>
      <c r="I346">
        <v>0.34606607499999997</v>
      </c>
      <c r="J346">
        <v>0.77889163400000005</v>
      </c>
      <c r="K346">
        <f>IF(C346=C345,K345+1,1)</f>
        <v>1</v>
      </c>
      <c r="L346">
        <f>MIN(((374/K346)*I346),L347)</f>
        <v>12.029913156800001</v>
      </c>
      <c r="M346">
        <f>-LOG10(L346)</f>
        <v>-1.0802624922061221</v>
      </c>
    </row>
    <row r="347" spans="1:13" x14ac:dyDescent="0.2">
      <c r="A347" t="s">
        <v>165</v>
      </c>
      <c r="B347" t="s">
        <v>24</v>
      </c>
      <c r="C347" t="s">
        <v>25</v>
      </c>
      <c r="D347">
        <v>-0.157346333</v>
      </c>
      <c r="E347" s="7">
        <f>ABS(D347)</f>
        <v>0.157346333</v>
      </c>
      <c r="F347">
        <v>0.178565633</v>
      </c>
      <c r="G347">
        <v>146</v>
      </c>
      <c r="H347">
        <v>44</v>
      </c>
      <c r="I347">
        <v>0.37970549399999998</v>
      </c>
      <c r="J347">
        <v>0.79780817199999998</v>
      </c>
      <c r="K347">
        <f>IF(C347=C346,K346+1,1)</f>
        <v>2</v>
      </c>
      <c r="L347">
        <f>MIN(((374/K347)*I347),L348)</f>
        <v>12.029913156800001</v>
      </c>
      <c r="M347">
        <f>-LOG10(L347)</f>
        <v>-1.0802624922061221</v>
      </c>
    </row>
    <row r="348" spans="1:13" x14ac:dyDescent="0.2">
      <c r="A348" t="s">
        <v>220</v>
      </c>
      <c r="B348" t="s">
        <v>24</v>
      </c>
      <c r="C348" t="s">
        <v>25</v>
      </c>
      <c r="D348">
        <v>0.15689361700000001</v>
      </c>
      <c r="E348" s="7">
        <f>ABS(D348)</f>
        <v>0.15689361700000001</v>
      </c>
      <c r="F348">
        <v>0.135440066</v>
      </c>
      <c r="G348">
        <v>146</v>
      </c>
      <c r="H348">
        <v>25</v>
      </c>
      <c r="I348">
        <v>0.24863223200000001</v>
      </c>
      <c r="J348">
        <v>0.716456647</v>
      </c>
      <c r="K348">
        <f>IF(C348=C347,K347+1,1)</f>
        <v>3</v>
      </c>
      <c r="L348">
        <f>MIN(((374/K348)*I348),L349)</f>
        <v>12.029913156800001</v>
      </c>
      <c r="M348">
        <f>-LOG10(L348)</f>
        <v>-1.0802624922061221</v>
      </c>
    </row>
    <row r="349" spans="1:13" x14ac:dyDescent="0.2">
      <c r="A349" t="s">
        <v>252</v>
      </c>
      <c r="B349" t="s">
        <v>24</v>
      </c>
      <c r="C349" t="s">
        <v>25</v>
      </c>
      <c r="D349">
        <v>-0.15686707899999999</v>
      </c>
      <c r="E349" s="7">
        <f>ABS(D349)</f>
        <v>0.15686707899999999</v>
      </c>
      <c r="F349">
        <v>0.15282920699999999</v>
      </c>
      <c r="G349">
        <v>146</v>
      </c>
      <c r="H349">
        <v>44</v>
      </c>
      <c r="I349">
        <v>0.30642638</v>
      </c>
      <c r="J349">
        <v>0.75236228000000005</v>
      </c>
      <c r="K349">
        <f>IF(C349=C348,K348+1,1)</f>
        <v>4</v>
      </c>
      <c r="L349">
        <f>MIN(((374/K349)*I349),L350)</f>
        <v>12.029913156800001</v>
      </c>
      <c r="M349">
        <f>-LOG10(L349)</f>
        <v>-1.0802624922061221</v>
      </c>
    </row>
    <row r="350" spans="1:13" x14ac:dyDescent="0.2">
      <c r="A350" t="s">
        <v>351</v>
      </c>
      <c r="B350" t="s">
        <v>10</v>
      </c>
      <c r="C350" t="s">
        <v>11</v>
      </c>
      <c r="D350">
        <v>0.15562039699999999</v>
      </c>
      <c r="E350" s="7">
        <f>ABS(D350)</f>
        <v>0.15562039699999999</v>
      </c>
      <c r="F350">
        <v>0.29802915299999999</v>
      </c>
      <c r="G350">
        <v>146</v>
      </c>
      <c r="H350">
        <v>137</v>
      </c>
      <c r="I350">
        <v>0.60236337399999995</v>
      </c>
      <c r="J350">
        <v>0.868914827</v>
      </c>
      <c r="K350">
        <f>IF(C350=C349,K349+1,1)</f>
        <v>1</v>
      </c>
      <c r="L350">
        <f>MIN(((374/K350)*I350),L351)</f>
        <v>12.029913156800001</v>
      </c>
      <c r="M350">
        <f>-LOG10(L350)</f>
        <v>-1.0802624922061221</v>
      </c>
    </row>
    <row r="351" spans="1:13" x14ac:dyDescent="0.2">
      <c r="A351" t="s">
        <v>212</v>
      </c>
      <c r="B351" t="s">
        <v>10</v>
      </c>
      <c r="C351" t="s">
        <v>11</v>
      </c>
      <c r="D351">
        <v>0.155392537</v>
      </c>
      <c r="E351" s="7">
        <f>ABS(D351)</f>
        <v>0.155392537</v>
      </c>
      <c r="F351">
        <v>0.129409203</v>
      </c>
      <c r="G351">
        <v>146</v>
      </c>
      <c r="H351">
        <v>21</v>
      </c>
      <c r="I351">
        <v>0.23182013700000001</v>
      </c>
      <c r="J351">
        <v>0.70776107200000005</v>
      </c>
      <c r="K351">
        <f>IF(C351=C350,K350+1,1)</f>
        <v>2</v>
      </c>
      <c r="L351">
        <f>MIN(((374/K351)*I351),L352)</f>
        <v>12.029913156800001</v>
      </c>
      <c r="M351">
        <f>-LOG10(L351)</f>
        <v>-1.0802624922061221</v>
      </c>
    </row>
    <row r="352" spans="1:13" x14ac:dyDescent="0.2">
      <c r="A352" t="s">
        <v>285</v>
      </c>
      <c r="B352" t="s">
        <v>24</v>
      </c>
      <c r="C352" t="s">
        <v>25</v>
      </c>
      <c r="D352">
        <v>-0.155192154</v>
      </c>
      <c r="E352" s="7">
        <f>ABS(D352)</f>
        <v>0.155192154</v>
      </c>
      <c r="F352">
        <v>0.255616699</v>
      </c>
      <c r="G352">
        <v>146</v>
      </c>
      <c r="H352">
        <v>117</v>
      </c>
      <c r="I352">
        <v>0.54472851499999997</v>
      </c>
      <c r="J352">
        <v>0.85640127899999996</v>
      </c>
      <c r="K352">
        <f>IF(C352=C351,K351+1,1)</f>
        <v>1</v>
      </c>
      <c r="L352">
        <f>MIN(((374/K352)*I352),L353)</f>
        <v>12.029913156800001</v>
      </c>
      <c r="M352">
        <f>-LOG10(L352)</f>
        <v>-1.0802624922061221</v>
      </c>
    </row>
    <row r="353" spans="1:13" x14ac:dyDescent="0.2">
      <c r="A353" t="s">
        <v>191</v>
      </c>
      <c r="B353" t="s">
        <v>10</v>
      </c>
      <c r="C353" t="s">
        <v>11</v>
      </c>
      <c r="D353">
        <v>0.15485433400000001</v>
      </c>
      <c r="E353" s="7">
        <f>ABS(D353)</f>
        <v>0.15485433400000001</v>
      </c>
      <c r="F353">
        <v>0.11777958199999999</v>
      </c>
      <c r="G353">
        <v>146</v>
      </c>
      <c r="H353">
        <v>21</v>
      </c>
      <c r="I353">
        <v>0.19068823300000001</v>
      </c>
      <c r="J353">
        <v>0.66651775000000002</v>
      </c>
      <c r="K353">
        <f>IF(C353=C352,K352+1,1)</f>
        <v>1</v>
      </c>
      <c r="L353">
        <f>MIN(((374/K353)*I353),L354)</f>
        <v>12.029913156800001</v>
      </c>
      <c r="M353">
        <f>-LOG10(L353)</f>
        <v>-1.0802624922061221</v>
      </c>
    </row>
    <row r="354" spans="1:13" x14ac:dyDescent="0.2">
      <c r="A354" t="s">
        <v>230</v>
      </c>
      <c r="B354" t="s">
        <v>24</v>
      </c>
      <c r="C354" t="s">
        <v>25</v>
      </c>
      <c r="D354">
        <v>0.15400814900000001</v>
      </c>
      <c r="E354" s="7">
        <f>ABS(D354)</f>
        <v>0.15400814900000001</v>
      </c>
      <c r="F354">
        <v>0.13713029400000001</v>
      </c>
      <c r="G354">
        <v>146</v>
      </c>
      <c r="H354">
        <v>30</v>
      </c>
      <c r="I354">
        <v>0.26328594399999999</v>
      </c>
      <c r="J354">
        <v>0.73484285800000004</v>
      </c>
      <c r="K354">
        <f>IF(C354=C353,K353+1,1)</f>
        <v>1</v>
      </c>
      <c r="L354">
        <f>MIN(((374/K354)*I354),L355)</f>
        <v>12.029913156800001</v>
      </c>
      <c r="M354">
        <f>-LOG10(L354)</f>
        <v>-1.0802624922061221</v>
      </c>
    </row>
    <row r="355" spans="1:13" x14ac:dyDescent="0.2">
      <c r="A355" t="s">
        <v>126</v>
      </c>
      <c r="B355" t="s">
        <v>10</v>
      </c>
      <c r="C355" t="s">
        <v>11</v>
      </c>
      <c r="D355">
        <v>-0.154000161</v>
      </c>
      <c r="E355" s="7">
        <f>ABS(D355)</f>
        <v>0.154000161</v>
      </c>
      <c r="F355">
        <v>0.21354218799999999</v>
      </c>
      <c r="G355">
        <v>146</v>
      </c>
      <c r="H355">
        <v>53</v>
      </c>
      <c r="I355">
        <v>0.471982493</v>
      </c>
      <c r="J355">
        <v>0.84421080100000001</v>
      </c>
      <c r="K355">
        <f>IF(C355=C354,K354+1,1)</f>
        <v>1</v>
      </c>
      <c r="L355">
        <f>MIN(((374/K355)*I355),L356)</f>
        <v>12.029913156800001</v>
      </c>
      <c r="M355">
        <f>-LOG10(L355)</f>
        <v>-1.0802624922061221</v>
      </c>
    </row>
    <row r="356" spans="1:13" x14ac:dyDescent="0.2">
      <c r="A356" t="s">
        <v>305</v>
      </c>
      <c r="B356" t="s">
        <v>24</v>
      </c>
      <c r="C356" t="s">
        <v>25</v>
      </c>
      <c r="D356">
        <v>0.15341466600000001</v>
      </c>
      <c r="E356" s="7">
        <f>ABS(D356)</f>
        <v>0.15341466600000001</v>
      </c>
      <c r="F356">
        <v>0.211315524</v>
      </c>
      <c r="G356">
        <v>146</v>
      </c>
      <c r="H356">
        <v>61</v>
      </c>
      <c r="I356">
        <v>0.46902651200000001</v>
      </c>
      <c r="J356">
        <v>0.84421080100000001</v>
      </c>
      <c r="K356">
        <f>IF(C356=C355,K355+1,1)</f>
        <v>1</v>
      </c>
      <c r="L356">
        <f>MIN(((374/K356)*I356),L357)</f>
        <v>12.029913156800001</v>
      </c>
      <c r="M356">
        <f>-LOG10(L356)</f>
        <v>-1.0802624922061221</v>
      </c>
    </row>
    <row r="357" spans="1:13" x14ac:dyDescent="0.2">
      <c r="A357" t="s">
        <v>64</v>
      </c>
      <c r="B357" t="s">
        <v>24</v>
      </c>
      <c r="C357" t="s">
        <v>25</v>
      </c>
      <c r="D357">
        <v>-0.152310222</v>
      </c>
      <c r="E357" s="7">
        <f>ABS(D357)</f>
        <v>0.152310222</v>
      </c>
      <c r="F357">
        <v>0.33668932699999998</v>
      </c>
      <c r="G357">
        <v>146</v>
      </c>
      <c r="H357">
        <v>83</v>
      </c>
      <c r="I357">
        <v>0.65168353000000001</v>
      </c>
      <c r="J357">
        <v>0.89960398799999997</v>
      </c>
      <c r="K357">
        <f>IF(C357=C356,K356+1,1)</f>
        <v>2</v>
      </c>
      <c r="L357">
        <f>MIN(((374/K357)*I357),L358)</f>
        <v>12.029913156800001</v>
      </c>
      <c r="M357">
        <f>-LOG10(L357)</f>
        <v>-1.0802624922061221</v>
      </c>
    </row>
    <row r="358" spans="1:13" x14ac:dyDescent="0.2">
      <c r="A358" t="s">
        <v>254</v>
      </c>
      <c r="B358" t="s">
        <v>10</v>
      </c>
      <c r="C358" t="s">
        <v>11</v>
      </c>
      <c r="D358">
        <v>-0.15130907900000001</v>
      </c>
      <c r="E358" s="7">
        <f>ABS(D358)</f>
        <v>0.15130907900000001</v>
      </c>
      <c r="F358">
        <v>0.25850805999999998</v>
      </c>
      <c r="G358">
        <v>146</v>
      </c>
      <c r="H358">
        <v>94</v>
      </c>
      <c r="I358">
        <v>0.55925731899999997</v>
      </c>
      <c r="J358">
        <v>0.85640127899999996</v>
      </c>
      <c r="K358">
        <f>IF(C358=C357,K357+1,1)</f>
        <v>1</v>
      </c>
      <c r="L358">
        <f>MIN(((374/K358)*I358),L359)</f>
        <v>12.029913156800001</v>
      </c>
      <c r="M358">
        <f>-LOG10(L358)</f>
        <v>-1.0802624922061221</v>
      </c>
    </row>
    <row r="359" spans="1:13" x14ac:dyDescent="0.2">
      <c r="A359" t="s">
        <v>22</v>
      </c>
      <c r="B359" t="s">
        <v>24</v>
      </c>
      <c r="C359" t="s">
        <v>25</v>
      </c>
      <c r="D359">
        <v>-0.150600863</v>
      </c>
      <c r="E359" s="7">
        <f>ABS(D359)</f>
        <v>0.150600863</v>
      </c>
      <c r="F359">
        <v>0.25573077500000002</v>
      </c>
      <c r="G359">
        <v>146</v>
      </c>
      <c r="H359">
        <v>83</v>
      </c>
      <c r="I359">
        <v>0.55685482600000002</v>
      </c>
      <c r="J359">
        <v>0.85640127899999996</v>
      </c>
      <c r="K359">
        <f>IF(C359=C358,K358+1,1)</f>
        <v>1</v>
      </c>
      <c r="L359">
        <f>MIN(((374/K359)*I359),L360)</f>
        <v>12.029913156800001</v>
      </c>
      <c r="M359">
        <f>-LOG10(L359)</f>
        <v>-1.0802624922061221</v>
      </c>
    </row>
    <row r="360" spans="1:13" x14ac:dyDescent="0.2">
      <c r="A360" t="s">
        <v>348</v>
      </c>
      <c r="B360" t="s">
        <v>24</v>
      </c>
      <c r="C360" t="s">
        <v>25</v>
      </c>
      <c r="D360">
        <v>0.14974000100000001</v>
      </c>
      <c r="E360" s="7">
        <f>ABS(D360)</f>
        <v>0.14974000100000001</v>
      </c>
      <c r="F360">
        <v>0.29449330400000001</v>
      </c>
      <c r="G360">
        <v>146</v>
      </c>
      <c r="H360">
        <v>44</v>
      </c>
      <c r="I360">
        <v>0.611909704</v>
      </c>
      <c r="J360">
        <v>0.868914827</v>
      </c>
      <c r="K360">
        <f>IF(C360=C359,K359+1,1)</f>
        <v>2</v>
      </c>
      <c r="L360">
        <f>MIN(((374/K360)*I360),L361)</f>
        <v>12.029913156800001</v>
      </c>
      <c r="M360">
        <f>-LOG10(L360)</f>
        <v>-1.0802624922061221</v>
      </c>
    </row>
    <row r="361" spans="1:13" x14ac:dyDescent="0.2">
      <c r="A361" t="s">
        <v>250</v>
      </c>
      <c r="B361" t="s">
        <v>10</v>
      </c>
      <c r="C361" t="s">
        <v>11</v>
      </c>
      <c r="D361">
        <v>0.14927806800000001</v>
      </c>
      <c r="E361" s="7">
        <f>ABS(D361)</f>
        <v>0.14927806800000001</v>
      </c>
      <c r="F361">
        <v>0.23631560099999999</v>
      </c>
      <c r="G361">
        <v>146</v>
      </c>
      <c r="H361">
        <v>48</v>
      </c>
      <c r="I361">
        <v>0.52859836500000001</v>
      </c>
      <c r="J361">
        <v>0.85640127899999996</v>
      </c>
      <c r="K361">
        <f>IF(C361=C360,K360+1,1)</f>
        <v>1</v>
      </c>
      <c r="L361">
        <f>MIN(((374/K361)*I361),L362)</f>
        <v>12.029913156800001</v>
      </c>
      <c r="M361">
        <f>-LOG10(L361)</f>
        <v>-1.0802624922061221</v>
      </c>
    </row>
    <row r="362" spans="1:13" x14ac:dyDescent="0.2">
      <c r="A362" t="s">
        <v>239</v>
      </c>
      <c r="B362" t="s">
        <v>10</v>
      </c>
      <c r="C362" t="s">
        <v>11</v>
      </c>
      <c r="D362">
        <v>0.14912957099999999</v>
      </c>
      <c r="E362" s="7">
        <f>ABS(D362)</f>
        <v>0.14912957099999999</v>
      </c>
      <c r="F362">
        <v>0.141245592</v>
      </c>
      <c r="G362">
        <v>146</v>
      </c>
      <c r="H362">
        <v>19</v>
      </c>
      <c r="I362">
        <v>0.29283208300000002</v>
      </c>
      <c r="J362">
        <v>0.74902001500000004</v>
      </c>
      <c r="K362">
        <f>IF(C362=C361,K361+1,1)</f>
        <v>2</v>
      </c>
      <c r="L362">
        <f>MIN(((374/K362)*I362),L363)</f>
        <v>12.029913156800001</v>
      </c>
      <c r="M362">
        <f>-LOG10(L362)</f>
        <v>-1.0802624922061221</v>
      </c>
    </row>
    <row r="363" spans="1:13" x14ac:dyDescent="0.2">
      <c r="A363" t="s">
        <v>314</v>
      </c>
      <c r="B363" t="s">
        <v>10</v>
      </c>
      <c r="C363" t="s">
        <v>11</v>
      </c>
      <c r="D363">
        <v>-0.147819003</v>
      </c>
      <c r="E363" s="7">
        <f>ABS(D363)</f>
        <v>0.147819003</v>
      </c>
      <c r="F363">
        <v>0.216099349</v>
      </c>
      <c r="G363">
        <v>146</v>
      </c>
      <c r="H363">
        <v>113</v>
      </c>
      <c r="I363">
        <v>0.49506156499999998</v>
      </c>
      <c r="J363">
        <v>0.85109879300000002</v>
      </c>
      <c r="K363">
        <f>IF(C363=C362,K362+1,1)</f>
        <v>3</v>
      </c>
      <c r="L363">
        <f>MIN(((374/K363)*I363),L364)</f>
        <v>12.029913156800001</v>
      </c>
      <c r="M363">
        <f>-LOG10(L363)</f>
        <v>-1.0802624922061221</v>
      </c>
    </row>
    <row r="364" spans="1:13" x14ac:dyDescent="0.2">
      <c r="A364" t="s">
        <v>162</v>
      </c>
      <c r="B364" t="s">
        <v>24</v>
      </c>
      <c r="C364" t="s">
        <v>25</v>
      </c>
      <c r="D364">
        <v>0.14776962199999999</v>
      </c>
      <c r="E364" s="7">
        <f>ABS(D364)</f>
        <v>0.14776962199999999</v>
      </c>
      <c r="F364">
        <v>0.263819421</v>
      </c>
      <c r="G364">
        <v>146</v>
      </c>
      <c r="H364">
        <v>36</v>
      </c>
      <c r="I364">
        <v>0.57627634699999997</v>
      </c>
      <c r="J364">
        <v>0.86049899200000002</v>
      </c>
      <c r="K364">
        <f>IF(C364=C363,K363+1,1)</f>
        <v>1</v>
      </c>
      <c r="L364">
        <f>MIN(((374/K364)*I364),L365)</f>
        <v>12.029913156800001</v>
      </c>
      <c r="M364">
        <f>-LOG10(L364)</f>
        <v>-1.0802624922061221</v>
      </c>
    </row>
    <row r="365" spans="1:13" x14ac:dyDescent="0.2">
      <c r="A365" t="s">
        <v>15</v>
      </c>
      <c r="B365" t="s">
        <v>24</v>
      </c>
      <c r="C365" t="s">
        <v>25</v>
      </c>
      <c r="D365">
        <v>-0.147514904</v>
      </c>
      <c r="E365" s="7">
        <f>ABS(D365)</f>
        <v>0.147514904</v>
      </c>
      <c r="F365">
        <v>0.29378574099999999</v>
      </c>
      <c r="G365">
        <v>146</v>
      </c>
      <c r="H365">
        <v>96</v>
      </c>
      <c r="I365">
        <v>0.616357288</v>
      </c>
      <c r="J365">
        <v>0.87031481499999996</v>
      </c>
      <c r="K365">
        <f>IF(C365=C364,K364+1,1)</f>
        <v>2</v>
      </c>
      <c r="L365">
        <f>MIN(((374/K365)*I365),L366)</f>
        <v>12.029913156800001</v>
      </c>
      <c r="M365">
        <f>-LOG10(L365)</f>
        <v>-1.0802624922061221</v>
      </c>
    </row>
    <row r="366" spans="1:13" x14ac:dyDescent="0.2">
      <c r="A366" t="s">
        <v>305</v>
      </c>
      <c r="B366" t="s">
        <v>10</v>
      </c>
      <c r="C366" t="s">
        <v>11</v>
      </c>
      <c r="D366">
        <v>0.14734198600000001</v>
      </c>
      <c r="E366" s="7">
        <f>ABS(D366)</f>
        <v>0.14734198600000001</v>
      </c>
      <c r="F366">
        <v>0.22607454900000001</v>
      </c>
      <c r="G366">
        <v>146</v>
      </c>
      <c r="H366">
        <v>61</v>
      </c>
      <c r="I366">
        <v>0.51561456800000005</v>
      </c>
      <c r="J366">
        <v>0.85640127899999996</v>
      </c>
      <c r="K366">
        <f>IF(C366=C365,K365+1,1)</f>
        <v>1</v>
      </c>
      <c r="L366">
        <f>MIN(((374/K366)*I366),L367)</f>
        <v>12.029913156800001</v>
      </c>
      <c r="M366">
        <f>-LOG10(L366)</f>
        <v>-1.0802624922061221</v>
      </c>
    </row>
    <row r="367" spans="1:13" x14ac:dyDescent="0.2">
      <c r="A367" t="s">
        <v>88</v>
      </c>
      <c r="B367" t="s">
        <v>24</v>
      </c>
      <c r="C367" t="s">
        <v>25</v>
      </c>
      <c r="D367">
        <v>0.14726690100000001</v>
      </c>
      <c r="E367" s="7">
        <f>ABS(D367)</f>
        <v>0.14726690100000001</v>
      </c>
      <c r="F367">
        <v>0.172030612</v>
      </c>
      <c r="G367">
        <v>146</v>
      </c>
      <c r="H367">
        <v>34</v>
      </c>
      <c r="I367">
        <v>0.39340197300000002</v>
      </c>
      <c r="J367">
        <v>0.81653492299999997</v>
      </c>
      <c r="K367">
        <f>IF(C367=C366,K366+1,1)</f>
        <v>1</v>
      </c>
      <c r="L367">
        <f>MIN(((374/K367)*I367),L368)</f>
        <v>12.029913156800001</v>
      </c>
      <c r="M367">
        <f>-LOG10(L367)</f>
        <v>-1.0802624922061221</v>
      </c>
    </row>
    <row r="368" spans="1:13" x14ac:dyDescent="0.2">
      <c r="A368" t="s">
        <v>158</v>
      </c>
      <c r="B368" t="s">
        <v>10</v>
      </c>
      <c r="C368" t="s">
        <v>11</v>
      </c>
      <c r="D368">
        <v>0.146763647</v>
      </c>
      <c r="E368" s="7">
        <f>ABS(D368)</f>
        <v>0.146763647</v>
      </c>
      <c r="F368">
        <v>9.2913103999999996E-2</v>
      </c>
      <c r="G368">
        <v>146</v>
      </c>
      <c r="H368">
        <v>19</v>
      </c>
      <c r="I368">
        <v>0.116412628</v>
      </c>
      <c r="J368">
        <v>0.52455810599999997</v>
      </c>
      <c r="K368">
        <f>IF(C368=C367,K367+1,1)</f>
        <v>1</v>
      </c>
      <c r="L368">
        <f>MIN(((374/K368)*I368),L369)</f>
        <v>12.029913156800001</v>
      </c>
      <c r="M368">
        <f>-LOG10(L368)</f>
        <v>-1.0802624922061221</v>
      </c>
    </row>
    <row r="369" spans="1:13" x14ac:dyDescent="0.2">
      <c r="A369" t="s">
        <v>209</v>
      </c>
      <c r="B369" t="s">
        <v>24</v>
      </c>
      <c r="C369" t="s">
        <v>25</v>
      </c>
      <c r="D369">
        <v>-0.146708694</v>
      </c>
      <c r="E369" s="7">
        <f>ABS(D369)</f>
        <v>0.146708694</v>
      </c>
      <c r="F369">
        <v>0.120149403</v>
      </c>
      <c r="G369">
        <v>146</v>
      </c>
      <c r="H369">
        <v>23</v>
      </c>
      <c r="I369">
        <v>0.22407566400000001</v>
      </c>
      <c r="J369">
        <v>0.7012912</v>
      </c>
      <c r="K369">
        <f>IF(C369=C368,K368+1,1)</f>
        <v>1</v>
      </c>
      <c r="L369">
        <f>MIN(((374/K369)*I369),L370)</f>
        <v>12.029913156800001</v>
      </c>
      <c r="M369">
        <f>-LOG10(L369)</f>
        <v>-1.0802624922061221</v>
      </c>
    </row>
    <row r="370" spans="1:13" x14ac:dyDescent="0.2">
      <c r="A370" t="s">
        <v>235</v>
      </c>
      <c r="B370" t="s">
        <v>24</v>
      </c>
      <c r="C370" t="s">
        <v>25</v>
      </c>
      <c r="D370">
        <v>-0.146338739</v>
      </c>
      <c r="E370" s="7">
        <f>ABS(D370)</f>
        <v>0.146338739</v>
      </c>
      <c r="F370">
        <v>0.23468631000000001</v>
      </c>
      <c r="G370">
        <v>146</v>
      </c>
      <c r="H370">
        <v>49</v>
      </c>
      <c r="I370">
        <v>0.53391623899999996</v>
      </c>
      <c r="J370">
        <v>0.85640127899999996</v>
      </c>
      <c r="K370">
        <f>IF(C370=C369,K369+1,1)</f>
        <v>2</v>
      </c>
      <c r="L370">
        <f>MIN(((374/K370)*I370),L371)</f>
        <v>12.029913156800001</v>
      </c>
      <c r="M370">
        <f>-LOG10(L370)</f>
        <v>-1.0802624922061221</v>
      </c>
    </row>
    <row r="371" spans="1:13" x14ac:dyDescent="0.2">
      <c r="A371" t="s">
        <v>242</v>
      </c>
      <c r="B371" t="s">
        <v>10</v>
      </c>
      <c r="C371" t="s">
        <v>11</v>
      </c>
      <c r="D371">
        <v>0.14623282100000001</v>
      </c>
      <c r="E371" s="7">
        <f>ABS(D371)</f>
        <v>0.14623282100000001</v>
      </c>
      <c r="F371">
        <v>0.13589363500000001</v>
      </c>
      <c r="G371">
        <v>146</v>
      </c>
      <c r="H371">
        <v>24</v>
      </c>
      <c r="I371">
        <v>0.28370230800000001</v>
      </c>
      <c r="J371">
        <v>0.74902001500000004</v>
      </c>
      <c r="K371">
        <f>IF(C371=C370,K370+1,1)</f>
        <v>1</v>
      </c>
      <c r="L371">
        <f>MIN(((374/K371)*I371),L372)</f>
        <v>12.029913156800001</v>
      </c>
      <c r="M371">
        <f>-LOG10(L371)</f>
        <v>-1.0802624922061221</v>
      </c>
    </row>
    <row r="372" spans="1:13" x14ac:dyDescent="0.2">
      <c r="A372" t="s">
        <v>72</v>
      </c>
      <c r="B372" t="s">
        <v>24</v>
      </c>
      <c r="C372" t="s">
        <v>25</v>
      </c>
      <c r="D372">
        <v>-0.14587696999999999</v>
      </c>
      <c r="E372" s="7">
        <f>ABS(D372)</f>
        <v>0.14587696999999999</v>
      </c>
      <c r="F372">
        <v>0.215493357</v>
      </c>
      <c r="G372">
        <v>146</v>
      </c>
      <c r="H372">
        <v>107</v>
      </c>
      <c r="I372">
        <v>0.49953497899999999</v>
      </c>
      <c r="J372">
        <v>0.85109879300000002</v>
      </c>
      <c r="K372">
        <f>IF(C372=C371,K371+1,1)</f>
        <v>1</v>
      </c>
      <c r="L372">
        <f>MIN(((374/K372)*I372),L373)</f>
        <v>12.029913156800001</v>
      </c>
      <c r="M372">
        <f>-LOG10(L372)</f>
        <v>-1.0802624922061221</v>
      </c>
    </row>
    <row r="373" spans="1:13" x14ac:dyDescent="0.2">
      <c r="A373" t="s">
        <v>344</v>
      </c>
      <c r="B373" t="s">
        <v>24</v>
      </c>
      <c r="C373" t="s">
        <v>25</v>
      </c>
      <c r="D373">
        <v>0.14494918600000001</v>
      </c>
      <c r="E373" s="7">
        <f>ABS(D373)</f>
        <v>0.14494918600000001</v>
      </c>
      <c r="F373">
        <v>0.25959476199999998</v>
      </c>
      <c r="G373">
        <v>146</v>
      </c>
      <c r="H373">
        <v>66</v>
      </c>
      <c r="I373">
        <v>0.57746692099999997</v>
      </c>
      <c r="J373">
        <v>0.86049899200000002</v>
      </c>
      <c r="K373">
        <f>IF(C373=C372,K372+1,1)</f>
        <v>2</v>
      </c>
      <c r="L373">
        <f>MIN(((374/K373)*I373),L374)</f>
        <v>12.029913156800001</v>
      </c>
      <c r="M373">
        <f>-LOG10(L373)</f>
        <v>-1.0802624922061221</v>
      </c>
    </row>
    <row r="374" spans="1:13" x14ac:dyDescent="0.2">
      <c r="A374" t="s">
        <v>143</v>
      </c>
      <c r="B374" t="s">
        <v>24</v>
      </c>
      <c r="C374" t="s">
        <v>25</v>
      </c>
      <c r="D374">
        <v>-0.14414002400000001</v>
      </c>
      <c r="E374" s="7">
        <f>ABS(D374)</f>
        <v>0.14414002400000001</v>
      </c>
      <c r="F374">
        <v>0.242878494</v>
      </c>
      <c r="G374">
        <v>146</v>
      </c>
      <c r="H374">
        <v>31</v>
      </c>
      <c r="I374">
        <v>0.553807147</v>
      </c>
      <c r="J374">
        <v>0.85640127899999996</v>
      </c>
      <c r="K374">
        <f>IF(C374=C373,K373+1,1)</f>
        <v>3</v>
      </c>
      <c r="L374">
        <f>MIN(((374/K374)*I374),L375)</f>
        <v>12.029913156800001</v>
      </c>
      <c r="M374">
        <f>-LOG10(L374)</f>
        <v>-1.0802624922061221</v>
      </c>
    </row>
    <row r="375" spans="1:13" x14ac:dyDescent="0.2">
      <c r="A375" t="s">
        <v>160</v>
      </c>
      <c r="B375" t="s">
        <v>24</v>
      </c>
      <c r="C375" t="s">
        <v>25</v>
      </c>
      <c r="D375">
        <v>-0.14293141100000001</v>
      </c>
      <c r="E375" s="7">
        <f>ABS(D375)</f>
        <v>0.14293141100000001</v>
      </c>
      <c r="F375">
        <v>0.165917226</v>
      </c>
      <c r="G375">
        <v>146</v>
      </c>
      <c r="H375">
        <v>51</v>
      </c>
      <c r="I375">
        <v>0.39042576699999998</v>
      </c>
      <c r="J375">
        <v>0.81347764199999995</v>
      </c>
      <c r="K375">
        <f>IF(C375=C374,K374+1,1)</f>
        <v>4</v>
      </c>
      <c r="L375">
        <f>MIN(((374/K375)*I375),L376)</f>
        <v>12.029913156800001</v>
      </c>
      <c r="M375">
        <f>-LOG10(L375)</f>
        <v>-1.0802624922061221</v>
      </c>
    </row>
    <row r="376" spans="1:13" x14ac:dyDescent="0.2">
      <c r="A376" t="s">
        <v>297</v>
      </c>
      <c r="B376" t="s">
        <v>24</v>
      </c>
      <c r="C376" t="s">
        <v>25</v>
      </c>
      <c r="D376">
        <v>-0.142583184</v>
      </c>
      <c r="E376" s="7">
        <f>ABS(D376)</f>
        <v>0.142583184</v>
      </c>
      <c r="F376">
        <v>0.19014426200000001</v>
      </c>
      <c r="G376">
        <v>146</v>
      </c>
      <c r="H376">
        <v>92</v>
      </c>
      <c r="I376">
        <v>0.45456585700000002</v>
      </c>
      <c r="J376">
        <v>0.84421080100000001</v>
      </c>
      <c r="K376">
        <f>IF(C376=C375,K375+1,1)</f>
        <v>5</v>
      </c>
      <c r="L376">
        <f>MIN(((374/K376)*I376),L377)</f>
        <v>12.029913156800001</v>
      </c>
      <c r="M376">
        <f>-LOG10(L376)</f>
        <v>-1.0802624922061221</v>
      </c>
    </row>
    <row r="377" spans="1:13" x14ac:dyDescent="0.2">
      <c r="A377" t="s">
        <v>124</v>
      </c>
      <c r="B377" t="s">
        <v>10</v>
      </c>
      <c r="C377" t="s">
        <v>11</v>
      </c>
      <c r="D377">
        <v>0.142242638</v>
      </c>
      <c r="E377" s="7">
        <f>ABS(D377)</f>
        <v>0.142242638</v>
      </c>
      <c r="F377">
        <v>0.19726347499999999</v>
      </c>
      <c r="G377">
        <v>146</v>
      </c>
      <c r="H377">
        <v>61</v>
      </c>
      <c r="I377">
        <v>0.47203786199999997</v>
      </c>
      <c r="J377">
        <v>0.84421080100000001</v>
      </c>
      <c r="K377">
        <f>IF(C377=C376,K376+1,1)</f>
        <v>1</v>
      </c>
      <c r="L377">
        <f>MIN(((374/K377)*I377),L378)</f>
        <v>12.029913156800001</v>
      </c>
      <c r="M377">
        <f>-LOG10(L377)</f>
        <v>-1.0802624922061221</v>
      </c>
    </row>
    <row r="378" spans="1:13" x14ac:dyDescent="0.2">
      <c r="A378" t="s">
        <v>218</v>
      </c>
      <c r="B378" t="s">
        <v>24</v>
      </c>
      <c r="C378" t="s">
        <v>25</v>
      </c>
      <c r="D378">
        <v>-0.141307656</v>
      </c>
      <c r="E378" s="7">
        <f>ABS(D378)</f>
        <v>0.141307656</v>
      </c>
      <c r="F378">
        <v>0.12813860999999999</v>
      </c>
      <c r="G378">
        <v>146</v>
      </c>
      <c r="H378">
        <v>18</v>
      </c>
      <c r="I378">
        <v>0.27197867999999997</v>
      </c>
      <c r="J378">
        <v>0.74403666300000004</v>
      </c>
      <c r="K378">
        <f>IF(C378=C377,K377+1,1)</f>
        <v>1</v>
      </c>
      <c r="L378">
        <f>MIN(((374/K378)*I378),L379)</f>
        <v>12.029913156800001</v>
      </c>
      <c r="M378">
        <f>-LOG10(L378)</f>
        <v>-1.0802624922061221</v>
      </c>
    </row>
    <row r="379" spans="1:13" x14ac:dyDescent="0.2">
      <c r="A379" t="s">
        <v>18</v>
      </c>
      <c r="B379" t="s">
        <v>24</v>
      </c>
      <c r="C379" t="s">
        <v>25</v>
      </c>
      <c r="D379">
        <v>-0.14122669800000001</v>
      </c>
      <c r="E379" s="7">
        <f>ABS(D379)</f>
        <v>0.14122669800000001</v>
      </c>
      <c r="F379">
        <v>0.26647990300000002</v>
      </c>
      <c r="G379">
        <v>146</v>
      </c>
      <c r="H379">
        <v>65</v>
      </c>
      <c r="I379">
        <v>0.59695374800000001</v>
      </c>
      <c r="J379">
        <v>0.868914827</v>
      </c>
      <c r="K379">
        <f>IF(C379=C378,K378+1,1)</f>
        <v>2</v>
      </c>
      <c r="L379">
        <f>MIN(((374/K379)*I379),L380)</f>
        <v>12.029913156800001</v>
      </c>
      <c r="M379">
        <f>-LOG10(L379)</f>
        <v>-1.0802624922061221</v>
      </c>
    </row>
    <row r="380" spans="1:13" x14ac:dyDescent="0.2">
      <c r="A380" t="s">
        <v>184</v>
      </c>
      <c r="B380" t="s">
        <v>24</v>
      </c>
      <c r="C380" t="s">
        <v>25</v>
      </c>
      <c r="D380">
        <v>0.14072306300000001</v>
      </c>
      <c r="E380" s="7">
        <f>ABS(D380)</f>
        <v>0.14072306300000001</v>
      </c>
      <c r="F380">
        <v>0.28045747399999998</v>
      </c>
      <c r="G380">
        <v>146</v>
      </c>
      <c r="H380">
        <v>69</v>
      </c>
      <c r="I380">
        <v>0.61660619800000005</v>
      </c>
      <c r="J380">
        <v>0.87031481499999996</v>
      </c>
      <c r="K380">
        <f>IF(C380=C379,K379+1,1)</f>
        <v>3</v>
      </c>
      <c r="L380">
        <f>MIN(((374/K380)*I380),L381)</f>
        <v>12.029913156800001</v>
      </c>
      <c r="M380">
        <f>-LOG10(L380)</f>
        <v>-1.0802624922061221</v>
      </c>
    </row>
    <row r="381" spans="1:13" x14ac:dyDescent="0.2">
      <c r="A381" t="s">
        <v>77</v>
      </c>
      <c r="B381" t="s">
        <v>24</v>
      </c>
      <c r="C381" t="s">
        <v>25</v>
      </c>
      <c r="D381">
        <v>-0.14042069099999999</v>
      </c>
      <c r="E381" s="7">
        <f>ABS(D381)</f>
        <v>0.14042069099999999</v>
      </c>
      <c r="F381">
        <v>0.31822687700000002</v>
      </c>
      <c r="G381">
        <v>146</v>
      </c>
      <c r="H381">
        <v>60</v>
      </c>
      <c r="I381">
        <v>0.65969146400000001</v>
      </c>
      <c r="J381">
        <v>0.90045477200000001</v>
      </c>
      <c r="K381">
        <f>IF(C381=C380,K380+1,1)</f>
        <v>4</v>
      </c>
      <c r="L381">
        <f>MIN(((374/K381)*I381),L382)</f>
        <v>12.029913156800001</v>
      </c>
      <c r="M381">
        <f>-LOG10(L381)</f>
        <v>-1.0802624922061221</v>
      </c>
    </row>
    <row r="382" spans="1:13" x14ac:dyDescent="0.2">
      <c r="A382" t="s">
        <v>100</v>
      </c>
      <c r="B382" t="s">
        <v>10</v>
      </c>
      <c r="C382" t="s">
        <v>11</v>
      </c>
      <c r="D382">
        <v>0.13976708099999999</v>
      </c>
      <c r="E382" s="7">
        <f>ABS(D382)</f>
        <v>0.13976708099999999</v>
      </c>
      <c r="F382">
        <v>0.14196718</v>
      </c>
      <c r="G382">
        <v>146</v>
      </c>
      <c r="H382">
        <v>20</v>
      </c>
      <c r="I382">
        <v>0.32653116900000001</v>
      </c>
      <c r="J382">
        <v>0.77048995200000003</v>
      </c>
      <c r="K382">
        <f>IF(C382=C381,K381+1,1)</f>
        <v>1</v>
      </c>
      <c r="L382">
        <f>MIN(((374/K382)*I382),L383)</f>
        <v>12.029913156800001</v>
      </c>
      <c r="M382">
        <f>-LOG10(L382)</f>
        <v>-1.0802624922061221</v>
      </c>
    </row>
    <row r="383" spans="1:13" x14ac:dyDescent="0.2">
      <c r="A383" t="s">
        <v>233</v>
      </c>
      <c r="B383" t="s">
        <v>24</v>
      </c>
      <c r="C383" t="s">
        <v>25</v>
      </c>
      <c r="D383">
        <v>0.139723868</v>
      </c>
      <c r="E383" s="7">
        <f>ABS(D383)</f>
        <v>0.139723868</v>
      </c>
      <c r="F383">
        <v>0.12572661399999999</v>
      </c>
      <c r="G383">
        <v>146</v>
      </c>
      <c r="H383">
        <v>20</v>
      </c>
      <c r="I383">
        <v>0.26829096499999999</v>
      </c>
      <c r="J383">
        <v>0.740522664</v>
      </c>
      <c r="K383">
        <f>IF(C383=C382,K382+1,1)</f>
        <v>1</v>
      </c>
      <c r="L383">
        <f>MIN(((374/K383)*I383),L384)</f>
        <v>12.029913156800001</v>
      </c>
      <c r="M383">
        <f>-LOG10(L383)</f>
        <v>-1.0802624922061221</v>
      </c>
    </row>
    <row r="384" spans="1:13" x14ac:dyDescent="0.2">
      <c r="A384" t="s">
        <v>217</v>
      </c>
      <c r="B384" t="s">
        <v>24</v>
      </c>
      <c r="C384" t="s">
        <v>25</v>
      </c>
      <c r="D384">
        <v>-0.13956903700000001</v>
      </c>
      <c r="E384" s="7">
        <f>ABS(D384)</f>
        <v>0.13956903700000001</v>
      </c>
      <c r="F384">
        <v>0.117619612</v>
      </c>
      <c r="G384">
        <v>146</v>
      </c>
      <c r="H384">
        <v>29</v>
      </c>
      <c r="I384">
        <v>0.237347691</v>
      </c>
      <c r="J384">
        <v>0.71505164399999999</v>
      </c>
      <c r="K384">
        <f>IF(C384=C383,K383+1,1)</f>
        <v>2</v>
      </c>
      <c r="L384">
        <f>MIN(((374/K384)*I384),L385)</f>
        <v>12.029913156800001</v>
      </c>
      <c r="M384">
        <f>-LOG10(L384)</f>
        <v>-1.0802624922061221</v>
      </c>
    </row>
    <row r="385" spans="1:13" x14ac:dyDescent="0.2">
      <c r="A385" t="s">
        <v>101</v>
      </c>
      <c r="B385" t="s">
        <v>10</v>
      </c>
      <c r="C385" t="s">
        <v>11</v>
      </c>
      <c r="D385">
        <v>0.13935354599999999</v>
      </c>
      <c r="E385" s="7">
        <f>ABS(D385)</f>
        <v>0.13935354599999999</v>
      </c>
      <c r="F385">
        <v>0.173448664</v>
      </c>
      <c r="G385">
        <v>146</v>
      </c>
      <c r="H385">
        <v>25</v>
      </c>
      <c r="I385">
        <v>0.42306073799999999</v>
      </c>
      <c r="J385">
        <v>0.83495892299999996</v>
      </c>
      <c r="K385">
        <f>IF(C385=C384,K384+1,1)</f>
        <v>1</v>
      </c>
      <c r="L385">
        <f>MIN(((374/K385)*I385),L386)</f>
        <v>12.029913156800001</v>
      </c>
      <c r="M385">
        <f>-LOG10(L385)</f>
        <v>-1.0802624922061221</v>
      </c>
    </row>
    <row r="386" spans="1:13" x14ac:dyDescent="0.2">
      <c r="A386" t="s">
        <v>188</v>
      </c>
      <c r="B386" t="s">
        <v>10</v>
      </c>
      <c r="C386" t="s">
        <v>11</v>
      </c>
      <c r="D386">
        <v>-0.13925409999999999</v>
      </c>
      <c r="E386" s="7">
        <f>ABS(D386)</f>
        <v>0.13925409999999999</v>
      </c>
      <c r="F386">
        <v>0.23791206600000001</v>
      </c>
      <c r="G386">
        <v>146</v>
      </c>
      <c r="H386">
        <v>64</v>
      </c>
      <c r="I386">
        <v>0.55925675399999997</v>
      </c>
      <c r="J386">
        <v>0.85640127899999996</v>
      </c>
      <c r="K386">
        <f>IF(C386=C385,K385+1,1)</f>
        <v>2</v>
      </c>
      <c r="L386">
        <f>MIN(((374/K386)*I386),L387)</f>
        <v>12.029913156800001</v>
      </c>
      <c r="M386">
        <f>-LOG10(L386)</f>
        <v>-1.0802624922061221</v>
      </c>
    </row>
    <row r="387" spans="1:13" x14ac:dyDescent="0.2">
      <c r="A387" t="s">
        <v>275</v>
      </c>
      <c r="B387" t="s">
        <v>10</v>
      </c>
      <c r="C387" t="s">
        <v>11</v>
      </c>
      <c r="D387">
        <v>0.13816261799999999</v>
      </c>
      <c r="E387" s="7">
        <f>ABS(D387)</f>
        <v>0.13816261799999999</v>
      </c>
      <c r="F387">
        <v>0.15381835199999999</v>
      </c>
      <c r="G387">
        <v>146</v>
      </c>
      <c r="H387">
        <v>31</v>
      </c>
      <c r="I387">
        <v>0.37057849399999998</v>
      </c>
      <c r="J387">
        <v>0.79251592199999998</v>
      </c>
      <c r="K387">
        <f>IF(C387=C386,K386+1,1)</f>
        <v>3</v>
      </c>
      <c r="L387">
        <f>MIN(((374/K387)*I387),L388)</f>
        <v>12.029913156800001</v>
      </c>
      <c r="M387">
        <f>-LOG10(L387)</f>
        <v>-1.0802624922061221</v>
      </c>
    </row>
    <row r="388" spans="1:13" x14ac:dyDescent="0.2">
      <c r="A388" t="s">
        <v>118</v>
      </c>
      <c r="B388" t="s">
        <v>24</v>
      </c>
      <c r="C388" t="s">
        <v>25</v>
      </c>
      <c r="D388">
        <v>0.13771396599999999</v>
      </c>
      <c r="E388" s="7">
        <f>ABS(D388)</f>
        <v>0.13771396599999999</v>
      </c>
      <c r="F388">
        <v>7.1573132999999997E-2</v>
      </c>
      <c r="G388">
        <v>146</v>
      </c>
      <c r="H388">
        <v>17</v>
      </c>
      <c r="I388">
        <v>5.6328248999999997E-2</v>
      </c>
      <c r="J388">
        <v>0.35406327900000001</v>
      </c>
      <c r="K388">
        <f>IF(C388=C387,K387+1,1)</f>
        <v>1</v>
      </c>
      <c r="L388">
        <f>MIN(((374/K388)*I388),L389)</f>
        <v>12.029913156800001</v>
      </c>
      <c r="M388">
        <f>-LOG10(L388)</f>
        <v>-1.0802624922061221</v>
      </c>
    </row>
    <row r="389" spans="1:13" x14ac:dyDescent="0.2">
      <c r="A389" t="s">
        <v>171</v>
      </c>
      <c r="B389" t="s">
        <v>10</v>
      </c>
      <c r="C389" t="s">
        <v>11</v>
      </c>
      <c r="D389">
        <v>0.137065826</v>
      </c>
      <c r="E389" s="7">
        <f>ABS(D389)</f>
        <v>0.137065826</v>
      </c>
      <c r="F389">
        <v>9.2526866999999999E-2</v>
      </c>
      <c r="G389">
        <v>146</v>
      </c>
      <c r="H389">
        <v>18</v>
      </c>
      <c r="I389">
        <v>0.14071014100000001</v>
      </c>
      <c r="J389">
        <v>0.57201731300000003</v>
      </c>
      <c r="K389">
        <f>IF(C389=C388,K388+1,1)</f>
        <v>1</v>
      </c>
      <c r="L389">
        <f>MIN(((374/K389)*I389),L390)</f>
        <v>12.029913156800001</v>
      </c>
      <c r="M389">
        <f>-LOG10(L389)</f>
        <v>-1.0802624922061221</v>
      </c>
    </row>
    <row r="390" spans="1:13" x14ac:dyDescent="0.2">
      <c r="A390" t="s">
        <v>149</v>
      </c>
      <c r="B390" t="s">
        <v>24</v>
      </c>
      <c r="C390" t="s">
        <v>25</v>
      </c>
      <c r="D390">
        <v>0.13687133800000001</v>
      </c>
      <c r="E390" s="7">
        <f>ABS(D390)</f>
        <v>0.13687133800000001</v>
      </c>
      <c r="F390">
        <v>0.14308543200000001</v>
      </c>
      <c r="G390">
        <v>146</v>
      </c>
      <c r="H390">
        <v>16</v>
      </c>
      <c r="I390">
        <v>0.34039833200000003</v>
      </c>
      <c r="J390">
        <v>0.77889163400000005</v>
      </c>
      <c r="K390">
        <f>IF(C390=C389,K389+1,1)</f>
        <v>1</v>
      </c>
      <c r="L390">
        <f>MIN(((374/K390)*I390),L391)</f>
        <v>12.029913156800001</v>
      </c>
      <c r="M390">
        <f>-LOG10(L390)</f>
        <v>-1.0802624922061221</v>
      </c>
    </row>
    <row r="391" spans="1:13" x14ac:dyDescent="0.2">
      <c r="A391" t="s">
        <v>316</v>
      </c>
      <c r="B391" t="s">
        <v>24</v>
      </c>
      <c r="C391" t="s">
        <v>25</v>
      </c>
      <c r="D391">
        <v>-0.13667422100000001</v>
      </c>
      <c r="E391" s="7">
        <f>ABS(D391)</f>
        <v>0.13667422100000001</v>
      </c>
      <c r="F391">
        <v>0.20142986399999999</v>
      </c>
      <c r="G391">
        <v>146</v>
      </c>
      <c r="H391">
        <v>27</v>
      </c>
      <c r="I391">
        <v>0.49853852700000001</v>
      </c>
      <c r="J391">
        <v>0.85109879300000002</v>
      </c>
      <c r="K391">
        <f>IF(C391=C390,K390+1,1)</f>
        <v>2</v>
      </c>
      <c r="L391">
        <f>MIN(((374/K391)*I391),L392)</f>
        <v>12.029913156800001</v>
      </c>
      <c r="M391">
        <f>-LOG10(L391)</f>
        <v>-1.0802624922061221</v>
      </c>
    </row>
    <row r="392" spans="1:13" x14ac:dyDescent="0.2">
      <c r="A392" t="s">
        <v>214</v>
      </c>
      <c r="B392" t="s">
        <v>10</v>
      </c>
      <c r="C392" t="s">
        <v>11</v>
      </c>
      <c r="D392">
        <v>-0.136355643</v>
      </c>
      <c r="E392" s="7">
        <f>ABS(D392)</f>
        <v>0.136355643</v>
      </c>
      <c r="F392">
        <v>0.33432804300000002</v>
      </c>
      <c r="G392">
        <v>146</v>
      </c>
      <c r="H392">
        <v>70</v>
      </c>
      <c r="I392">
        <v>0.68399388500000002</v>
      </c>
      <c r="J392">
        <v>0.90274859299999999</v>
      </c>
      <c r="K392">
        <f>IF(C392=C391,K391+1,1)</f>
        <v>1</v>
      </c>
      <c r="L392">
        <f>MIN(((374/K392)*I392),L393)</f>
        <v>12.029913156800001</v>
      </c>
      <c r="M392">
        <f>-LOG10(L392)</f>
        <v>-1.0802624922061221</v>
      </c>
    </row>
    <row r="393" spans="1:13" x14ac:dyDescent="0.2">
      <c r="A393" t="s">
        <v>192</v>
      </c>
      <c r="B393" t="s">
        <v>10</v>
      </c>
      <c r="C393" t="s">
        <v>11</v>
      </c>
      <c r="D393">
        <v>-0.135689793</v>
      </c>
      <c r="E393" s="7">
        <f>ABS(D393)</f>
        <v>0.135689793</v>
      </c>
      <c r="F393">
        <v>0.38223538600000001</v>
      </c>
      <c r="G393">
        <v>146</v>
      </c>
      <c r="H393">
        <v>76</v>
      </c>
      <c r="I393">
        <v>0.72311999900000001</v>
      </c>
      <c r="J393">
        <v>0.91832556799999998</v>
      </c>
      <c r="K393">
        <f>IF(C393=C392,K392+1,1)</f>
        <v>2</v>
      </c>
      <c r="L393">
        <f>MIN(((374/K393)*I393),L394)</f>
        <v>12.029913156800001</v>
      </c>
      <c r="M393">
        <f>-LOG10(L393)</f>
        <v>-1.0802624922061221</v>
      </c>
    </row>
    <row r="394" spans="1:13" x14ac:dyDescent="0.2">
      <c r="A394" t="s">
        <v>219</v>
      </c>
      <c r="B394" t="s">
        <v>24</v>
      </c>
      <c r="C394" t="s">
        <v>25</v>
      </c>
      <c r="D394">
        <v>-0.13567184600000001</v>
      </c>
      <c r="E394" s="7">
        <f>ABS(D394)</f>
        <v>0.13567184600000001</v>
      </c>
      <c r="F394">
        <v>0.12672641600000001</v>
      </c>
      <c r="G394">
        <v>146</v>
      </c>
      <c r="H394">
        <v>33</v>
      </c>
      <c r="I394">
        <v>0.28615813400000001</v>
      </c>
      <c r="J394">
        <v>0.74902001500000004</v>
      </c>
      <c r="K394">
        <f>IF(C394=C393,K393+1,1)</f>
        <v>1</v>
      </c>
      <c r="L394">
        <f>MIN(((374/K394)*I394),L395)</f>
        <v>12.029913156800001</v>
      </c>
      <c r="M394">
        <f>-LOG10(L394)</f>
        <v>-1.0802624922061221</v>
      </c>
    </row>
    <row r="395" spans="1:13" x14ac:dyDescent="0.2">
      <c r="A395" t="s">
        <v>187</v>
      </c>
      <c r="B395" t="s">
        <v>24</v>
      </c>
      <c r="C395" t="s">
        <v>25</v>
      </c>
      <c r="D395">
        <v>-0.134684515</v>
      </c>
      <c r="E395" s="7">
        <f>ABS(D395)</f>
        <v>0.134684515</v>
      </c>
      <c r="F395">
        <v>0.13627423399999999</v>
      </c>
      <c r="G395">
        <v>146</v>
      </c>
      <c r="H395">
        <v>25</v>
      </c>
      <c r="I395">
        <v>0.32465824399999998</v>
      </c>
      <c r="J395">
        <v>0.76849483100000004</v>
      </c>
      <c r="K395">
        <f>IF(C395=C394,K394+1,1)</f>
        <v>2</v>
      </c>
      <c r="L395">
        <f>MIN(((374/K395)*I395),L396)</f>
        <v>12.029913156800001</v>
      </c>
      <c r="M395">
        <f>-LOG10(L395)</f>
        <v>-1.0802624922061221</v>
      </c>
    </row>
    <row r="396" spans="1:13" x14ac:dyDescent="0.2">
      <c r="A396" t="s">
        <v>222</v>
      </c>
      <c r="B396" t="s">
        <v>24</v>
      </c>
      <c r="C396" t="s">
        <v>25</v>
      </c>
      <c r="D396">
        <v>0.134557764</v>
      </c>
      <c r="E396" s="7">
        <f>ABS(D396)</f>
        <v>0.134557764</v>
      </c>
      <c r="F396">
        <v>0.131029281</v>
      </c>
      <c r="G396">
        <v>146</v>
      </c>
      <c r="H396">
        <v>31</v>
      </c>
      <c r="I396">
        <v>0.30618785399999998</v>
      </c>
      <c r="J396">
        <v>0.75236228000000005</v>
      </c>
      <c r="K396">
        <f>IF(C396=C395,K395+1,1)</f>
        <v>3</v>
      </c>
      <c r="L396">
        <f>MIN(((374/K396)*I396),L397)</f>
        <v>12.029913156800001</v>
      </c>
      <c r="M396">
        <f>-LOG10(L396)</f>
        <v>-1.0802624922061221</v>
      </c>
    </row>
    <row r="397" spans="1:13" x14ac:dyDescent="0.2">
      <c r="A397" t="s">
        <v>248</v>
      </c>
      <c r="B397" t="s">
        <v>24</v>
      </c>
      <c r="C397" t="s">
        <v>25</v>
      </c>
      <c r="D397">
        <v>0.13343978200000001</v>
      </c>
      <c r="E397" s="7">
        <f>ABS(D397)</f>
        <v>0.13343978200000001</v>
      </c>
      <c r="F397">
        <v>0.123532752</v>
      </c>
      <c r="G397">
        <v>146</v>
      </c>
      <c r="H397">
        <v>19</v>
      </c>
      <c r="I397">
        <v>0.281872652</v>
      </c>
      <c r="J397">
        <v>0.74902001500000004</v>
      </c>
      <c r="K397">
        <f>IF(C397=C396,K396+1,1)</f>
        <v>4</v>
      </c>
      <c r="L397">
        <f>MIN(((374/K397)*I397),L398)</f>
        <v>12.029913156800001</v>
      </c>
      <c r="M397">
        <f>-LOG10(L397)</f>
        <v>-1.0802624922061221</v>
      </c>
    </row>
    <row r="398" spans="1:13" x14ac:dyDescent="0.2">
      <c r="A398" t="s">
        <v>354</v>
      </c>
      <c r="B398" t="s">
        <v>10</v>
      </c>
      <c r="C398" t="s">
        <v>11</v>
      </c>
      <c r="D398">
        <v>0.13250678199999999</v>
      </c>
      <c r="E398" s="7">
        <f>ABS(D398)</f>
        <v>0.13250678199999999</v>
      </c>
      <c r="F398">
        <v>0.28358177899999998</v>
      </c>
      <c r="G398">
        <v>146</v>
      </c>
      <c r="H398">
        <v>87</v>
      </c>
      <c r="I398">
        <v>0.64102417700000003</v>
      </c>
      <c r="J398">
        <v>0.89157312</v>
      </c>
      <c r="K398">
        <f>IF(C398=C397,K397+1,1)</f>
        <v>1</v>
      </c>
      <c r="L398">
        <f>MIN(((374/K398)*I398),L399)</f>
        <v>12.029913156800001</v>
      </c>
      <c r="M398">
        <f>-LOG10(L398)</f>
        <v>-1.0802624922061221</v>
      </c>
    </row>
    <row r="399" spans="1:13" x14ac:dyDescent="0.2">
      <c r="A399" t="s">
        <v>256</v>
      </c>
      <c r="B399" t="s">
        <v>24</v>
      </c>
      <c r="C399" t="s">
        <v>25</v>
      </c>
      <c r="D399">
        <v>0.1317567</v>
      </c>
      <c r="E399" s="7">
        <f>ABS(D399)</f>
        <v>0.1317567</v>
      </c>
      <c r="F399">
        <v>0.12953207</v>
      </c>
      <c r="G399">
        <v>146</v>
      </c>
      <c r="H399">
        <v>25</v>
      </c>
      <c r="I399">
        <v>0.31078835500000002</v>
      </c>
      <c r="J399">
        <v>0.75322784700000001</v>
      </c>
      <c r="K399">
        <f>IF(C399=C398,K398+1,1)</f>
        <v>1</v>
      </c>
      <c r="L399">
        <f>MIN(((374/K399)*I399),L400)</f>
        <v>12.029913156800001</v>
      </c>
      <c r="M399">
        <f>-LOG10(L399)</f>
        <v>-1.0802624922061221</v>
      </c>
    </row>
    <row r="400" spans="1:13" x14ac:dyDescent="0.2">
      <c r="A400" t="s">
        <v>158</v>
      </c>
      <c r="B400" t="s">
        <v>24</v>
      </c>
      <c r="C400" t="s">
        <v>25</v>
      </c>
      <c r="D400">
        <v>-0.131678396</v>
      </c>
      <c r="E400" s="7">
        <f>ABS(D400)</f>
        <v>0.131678396</v>
      </c>
      <c r="F400">
        <v>8.6847375000000004E-2</v>
      </c>
      <c r="G400">
        <v>146</v>
      </c>
      <c r="H400">
        <v>19</v>
      </c>
      <c r="I400">
        <v>0.13167506000000001</v>
      </c>
      <c r="J400">
        <v>0.55645731700000001</v>
      </c>
      <c r="K400">
        <f>IF(C400=C399,K399+1,1)</f>
        <v>2</v>
      </c>
      <c r="L400">
        <f>MIN(((374/K400)*I400),L401)</f>
        <v>12.029913156800001</v>
      </c>
      <c r="M400">
        <f>-LOG10(L400)</f>
        <v>-1.0802624922061221</v>
      </c>
    </row>
    <row r="401" spans="1:13" x14ac:dyDescent="0.2">
      <c r="A401" t="s">
        <v>340</v>
      </c>
      <c r="B401" t="s">
        <v>10</v>
      </c>
      <c r="C401" t="s">
        <v>11</v>
      </c>
      <c r="D401">
        <v>0.13147867999999999</v>
      </c>
      <c r="E401" s="7">
        <f>ABS(D401)</f>
        <v>0.13147867999999999</v>
      </c>
      <c r="F401">
        <v>0.233159387</v>
      </c>
      <c r="G401">
        <v>146</v>
      </c>
      <c r="H401">
        <v>37</v>
      </c>
      <c r="I401">
        <v>0.57370518800000003</v>
      </c>
      <c r="J401">
        <v>0.86049899200000002</v>
      </c>
      <c r="K401">
        <f>IF(C401=C400,K400+1,1)</f>
        <v>1</v>
      </c>
      <c r="L401">
        <f>MIN(((374/K401)*I401),L402)</f>
        <v>12.029913156800001</v>
      </c>
      <c r="M401">
        <f>-LOG10(L401)</f>
        <v>-1.0802624922061221</v>
      </c>
    </row>
    <row r="402" spans="1:13" x14ac:dyDescent="0.2">
      <c r="A402" t="s">
        <v>259</v>
      </c>
      <c r="B402" t="s">
        <v>24</v>
      </c>
      <c r="C402" t="s">
        <v>25</v>
      </c>
      <c r="D402">
        <v>-0.13144719999999999</v>
      </c>
      <c r="E402" s="7">
        <f>ABS(D402)</f>
        <v>0.13144719999999999</v>
      </c>
      <c r="F402">
        <v>0.24210174300000001</v>
      </c>
      <c r="G402">
        <v>146</v>
      </c>
      <c r="H402">
        <v>68</v>
      </c>
      <c r="I402">
        <v>0.58801501099999998</v>
      </c>
      <c r="J402">
        <v>0.86651814100000002</v>
      </c>
      <c r="K402">
        <f>IF(C402=C401,K401+1,1)</f>
        <v>1</v>
      </c>
      <c r="L402">
        <f>MIN(((374/K402)*I402),L403)</f>
        <v>12.029913156800001</v>
      </c>
      <c r="M402">
        <f>-LOG10(L402)</f>
        <v>-1.0802624922061221</v>
      </c>
    </row>
    <row r="403" spans="1:13" x14ac:dyDescent="0.2">
      <c r="A403" t="s">
        <v>335</v>
      </c>
      <c r="B403" t="s">
        <v>10</v>
      </c>
      <c r="C403" t="s">
        <v>11</v>
      </c>
      <c r="D403">
        <v>0.131223969</v>
      </c>
      <c r="E403" s="7">
        <f>ABS(D403)</f>
        <v>0.131223969</v>
      </c>
      <c r="F403">
        <v>0.201700134</v>
      </c>
      <c r="G403">
        <v>146</v>
      </c>
      <c r="H403">
        <v>23</v>
      </c>
      <c r="I403">
        <v>0.51635551899999999</v>
      </c>
      <c r="J403">
        <v>0.85640127899999996</v>
      </c>
      <c r="K403">
        <f>IF(C403=C402,K402+1,1)</f>
        <v>1</v>
      </c>
      <c r="L403">
        <f>MIN(((374/K403)*I403),L404)</f>
        <v>12.029913156800001</v>
      </c>
      <c r="M403">
        <f>-LOG10(L403)</f>
        <v>-1.0802624922061221</v>
      </c>
    </row>
    <row r="404" spans="1:13" x14ac:dyDescent="0.2">
      <c r="A404" t="s">
        <v>369</v>
      </c>
      <c r="B404" t="s">
        <v>24</v>
      </c>
      <c r="C404" t="s">
        <v>25</v>
      </c>
      <c r="D404">
        <v>-0.13051881500000001</v>
      </c>
      <c r="E404" s="7">
        <f>ABS(D404)</f>
        <v>0.13051881500000001</v>
      </c>
      <c r="F404">
        <v>0.465112733</v>
      </c>
      <c r="G404">
        <v>146</v>
      </c>
      <c r="H404">
        <v>92</v>
      </c>
      <c r="I404">
        <v>0.77940929800000003</v>
      </c>
      <c r="J404">
        <v>0.93579157999999996</v>
      </c>
      <c r="K404">
        <f>IF(C404=C403,K403+1,1)</f>
        <v>1</v>
      </c>
      <c r="L404">
        <f>MIN(((374/K404)*I404),L405)</f>
        <v>12.029913156800001</v>
      </c>
      <c r="M404">
        <f>-LOG10(L404)</f>
        <v>-1.0802624922061221</v>
      </c>
    </row>
    <row r="405" spans="1:13" x14ac:dyDescent="0.2">
      <c r="A405" t="s">
        <v>312</v>
      </c>
      <c r="B405" t="s">
        <v>10</v>
      </c>
      <c r="C405" t="s">
        <v>11</v>
      </c>
      <c r="D405">
        <v>0.13019102499999999</v>
      </c>
      <c r="E405" s="7">
        <f>ABS(D405)</f>
        <v>0.13019102499999999</v>
      </c>
      <c r="F405">
        <v>0.186169639</v>
      </c>
      <c r="G405">
        <v>146</v>
      </c>
      <c r="H405">
        <v>38</v>
      </c>
      <c r="I405">
        <v>0.48549178399999998</v>
      </c>
      <c r="J405">
        <v>0.85046335900000003</v>
      </c>
      <c r="K405">
        <f>IF(C405=C404,K404+1,1)</f>
        <v>1</v>
      </c>
      <c r="L405">
        <f>MIN(((374/K405)*I405),L406)</f>
        <v>12.029913156800001</v>
      </c>
      <c r="M405">
        <f>-LOG10(L405)</f>
        <v>-1.0802624922061221</v>
      </c>
    </row>
    <row r="406" spans="1:13" x14ac:dyDescent="0.2">
      <c r="A406" t="s">
        <v>258</v>
      </c>
      <c r="B406" t="s">
        <v>24</v>
      </c>
      <c r="C406" t="s">
        <v>25</v>
      </c>
      <c r="D406">
        <v>0.12940794999999999</v>
      </c>
      <c r="E406" s="7">
        <f>ABS(D406)</f>
        <v>0.12940794999999999</v>
      </c>
      <c r="F406">
        <v>0.128629092</v>
      </c>
      <c r="G406">
        <v>146</v>
      </c>
      <c r="H406">
        <v>17</v>
      </c>
      <c r="I406">
        <v>0.31608840799999999</v>
      </c>
      <c r="J406">
        <v>0.75538060500000004</v>
      </c>
      <c r="K406">
        <f>IF(C406=C405,K405+1,1)</f>
        <v>1</v>
      </c>
      <c r="L406">
        <f>MIN(((374/K406)*I406),L407)</f>
        <v>12.029913156800001</v>
      </c>
      <c r="M406">
        <f>-LOG10(L406)</f>
        <v>-1.0802624922061221</v>
      </c>
    </row>
    <row r="407" spans="1:13" x14ac:dyDescent="0.2">
      <c r="A407" t="s">
        <v>196</v>
      </c>
      <c r="B407" t="s">
        <v>24</v>
      </c>
      <c r="C407" t="s">
        <v>25</v>
      </c>
      <c r="D407">
        <v>-0.12922075699999999</v>
      </c>
      <c r="E407" s="7">
        <f>ABS(D407)</f>
        <v>0.12922075699999999</v>
      </c>
      <c r="F407">
        <v>0.14209166000000001</v>
      </c>
      <c r="G407">
        <v>146</v>
      </c>
      <c r="H407">
        <v>37</v>
      </c>
      <c r="I407">
        <v>0.36465958900000001</v>
      </c>
      <c r="J407">
        <v>0.79062426799999996</v>
      </c>
      <c r="K407">
        <f>IF(C407=C406,K406+1,1)</f>
        <v>2</v>
      </c>
      <c r="L407">
        <f>MIN(((374/K407)*I407),L408)</f>
        <v>12.029913156800001</v>
      </c>
      <c r="M407">
        <f>-LOG10(L407)</f>
        <v>-1.0802624922061221</v>
      </c>
    </row>
    <row r="408" spans="1:13" x14ac:dyDescent="0.2">
      <c r="A408" t="s">
        <v>203</v>
      </c>
      <c r="B408" t="s">
        <v>10</v>
      </c>
      <c r="C408" t="s">
        <v>11</v>
      </c>
      <c r="D408">
        <v>0.129180827</v>
      </c>
      <c r="E408" s="7">
        <f>ABS(D408)</f>
        <v>0.129180827</v>
      </c>
      <c r="F408">
        <v>0.10382949900000001</v>
      </c>
      <c r="G408">
        <v>146</v>
      </c>
      <c r="H408">
        <v>15</v>
      </c>
      <c r="I408">
        <v>0.21547502399999999</v>
      </c>
      <c r="J408">
        <v>0.69746651299999995</v>
      </c>
      <c r="K408">
        <f>IF(C408=C407,K407+1,1)</f>
        <v>1</v>
      </c>
      <c r="L408">
        <f>MIN(((374/K408)*I408),L409)</f>
        <v>12.029913156800001</v>
      </c>
      <c r="M408">
        <f>-LOG10(L408)</f>
        <v>-1.0802624922061221</v>
      </c>
    </row>
    <row r="409" spans="1:13" x14ac:dyDescent="0.2">
      <c r="A409" t="s">
        <v>197</v>
      </c>
      <c r="B409" t="s">
        <v>24</v>
      </c>
      <c r="C409" t="s">
        <v>25</v>
      </c>
      <c r="D409">
        <v>-0.12908003800000001</v>
      </c>
      <c r="E409" s="7">
        <f>ABS(D409)</f>
        <v>0.12908003800000001</v>
      </c>
      <c r="F409">
        <v>0.101919965</v>
      </c>
      <c r="G409">
        <v>146</v>
      </c>
      <c r="H409">
        <v>17</v>
      </c>
      <c r="I409">
        <v>0.20739880599999999</v>
      </c>
      <c r="J409">
        <v>0.69362273799999996</v>
      </c>
      <c r="K409">
        <f>IF(C409=C408,K408+1,1)</f>
        <v>1</v>
      </c>
      <c r="L409">
        <f>MIN(((374/K409)*I409),L410)</f>
        <v>12.029913156800001</v>
      </c>
      <c r="M409">
        <f>-LOG10(L409)</f>
        <v>-1.0802624922061221</v>
      </c>
    </row>
    <row r="410" spans="1:13" x14ac:dyDescent="0.2">
      <c r="A410" t="s">
        <v>242</v>
      </c>
      <c r="B410" t="s">
        <v>24</v>
      </c>
      <c r="C410" t="s">
        <v>25</v>
      </c>
      <c r="D410">
        <v>-0.12839668200000001</v>
      </c>
      <c r="E410" s="7">
        <f>ABS(D410)</f>
        <v>0.12839668200000001</v>
      </c>
      <c r="F410">
        <v>0.12702197000000001</v>
      </c>
      <c r="G410">
        <v>146</v>
      </c>
      <c r="H410">
        <v>24</v>
      </c>
      <c r="I410">
        <v>0.31380862999999998</v>
      </c>
      <c r="J410">
        <v>0.75393702399999996</v>
      </c>
      <c r="K410">
        <f>IF(C410=C409,K409+1,1)</f>
        <v>2</v>
      </c>
      <c r="L410">
        <f>MIN(((374/K410)*I410),L411)</f>
        <v>12.029913156800001</v>
      </c>
      <c r="M410">
        <f>-LOG10(L410)</f>
        <v>-1.0802624922061221</v>
      </c>
    </row>
    <row r="411" spans="1:13" x14ac:dyDescent="0.2">
      <c r="A411" t="s">
        <v>268</v>
      </c>
      <c r="B411" t="s">
        <v>24</v>
      </c>
      <c r="C411" t="s">
        <v>25</v>
      </c>
      <c r="D411">
        <v>-0.12833615300000001</v>
      </c>
      <c r="E411" s="7">
        <f>ABS(D411)</f>
        <v>0.12833615300000001</v>
      </c>
      <c r="F411">
        <v>0.135915223</v>
      </c>
      <c r="G411">
        <v>146</v>
      </c>
      <c r="H411">
        <v>29</v>
      </c>
      <c r="I411">
        <v>0.34664129500000002</v>
      </c>
      <c r="J411">
        <v>0.77889163400000005</v>
      </c>
      <c r="K411">
        <f>IF(C411=C410,K410+1,1)</f>
        <v>3</v>
      </c>
      <c r="L411">
        <f>MIN(((374/K411)*I411),L412)</f>
        <v>12.029913156800001</v>
      </c>
      <c r="M411">
        <f>-LOG10(L411)</f>
        <v>-1.0802624922061221</v>
      </c>
    </row>
    <row r="412" spans="1:13" x14ac:dyDescent="0.2">
      <c r="A412" t="s">
        <v>284</v>
      </c>
      <c r="B412" t="s">
        <v>10</v>
      </c>
      <c r="C412" t="s">
        <v>11</v>
      </c>
      <c r="D412">
        <v>-0.12762950200000001</v>
      </c>
      <c r="E412" s="7">
        <f>ABS(D412)</f>
        <v>0.12762950200000001</v>
      </c>
      <c r="F412">
        <v>0.15168241599999999</v>
      </c>
      <c r="G412">
        <v>146</v>
      </c>
      <c r="H412">
        <v>23</v>
      </c>
      <c r="I412">
        <v>0.40151430599999999</v>
      </c>
      <c r="J412">
        <v>0.82306795099999996</v>
      </c>
      <c r="K412">
        <f>IF(C412=C411,K411+1,1)</f>
        <v>1</v>
      </c>
      <c r="L412">
        <f>MIN(((374/K412)*I412),L413)</f>
        <v>12.029913156800001</v>
      </c>
      <c r="M412">
        <f>-LOG10(L412)</f>
        <v>-1.0802624922061221</v>
      </c>
    </row>
    <row r="413" spans="1:13" x14ac:dyDescent="0.2">
      <c r="A413" t="s">
        <v>228</v>
      </c>
      <c r="B413" t="s">
        <v>24</v>
      </c>
      <c r="C413" t="s">
        <v>25</v>
      </c>
      <c r="D413">
        <v>0.12756530099999999</v>
      </c>
      <c r="E413" s="7">
        <f>ABS(D413)</f>
        <v>0.12756530099999999</v>
      </c>
      <c r="F413">
        <v>0.11350075900000001</v>
      </c>
      <c r="G413">
        <v>146</v>
      </c>
      <c r="H413">
        <v>19</v>
      </c>
      <c r="I413">
        <v>0.26293191300000002</v>
      </c>
      <c r="J413">
        <v>0.73484285800000004</v>
      </c>
      <c r="K413">
        <f>IF(C413=C412,K412+1,1)</f>
        <v>1</v>
      </c>
      <c r="L413">
        <f>MIN(((374/K413)*I413),L414)</f>
        <v>12.029913156800001</v>
      </c>
      <c r="M413">
        <f>-LOG10(L413)</f>
        <v>-1.0802624922061221</v>
      </c>
    </row>
    <row r="414" spans="1:13" x14ac:dyDescent="0.2">
      <c r="A414" t="s">
        <v>334</v>
      </c>
      <c r="B414" t="s">
        <v>24</v>
      </c>
      <c r="C414" t="s">
        <v>25</v>
      </c>
      <c r="D414">
        <v>0.127162579</v>
      </c>
      <c r="E414" s="7">
        <f>ABS(D414)</f>
        <v>0.127162579</v>
      </c>
      <c r="F414">
        <v>0.20092402000000001</v>
      </c>
      <c r="G414">
        <v>146</v>
      </c>
      <c r="H414">
        <v>19</v>
      </c>
      <c r="I414">
        <v>0.52781697900000002</v>
      </c>
      <c r="J414">
        <v>0.85640127899999996</v>
      </c>
      <c r="K414">
        <f>IF(C414=C413,K413+1,1)</f>
        <v>2</v>
      </c>
      <c r="L414">
        <f>MIN(((374/K414)*I414),L415)</f>
        <v>12.029913156800001</v>
      </c>
      <c r="M414">
        <f>-LOG10(L414)</f>
        <v>-1.0802624922061221</v>
      </c>
    </row>
    <row r="415" spans="1:13" x14ac:dyDescent="0.2">
      <c r="A415" t="s">
        <v>353</v>
      </c>
      <c r="B415" t="s">
        <v>10</v>
      </c>
      <c r="C415" t="s">
        <v>11</v>
      </c>
      <c r="D415">
        <v>-0.12695247900000001</v>
      </c>
      <c r="E415" s="7">
        <f>ABS(D415)</f>
        <v>0.12695247900000001</v>
      </c>
      <c r="F415">
        <v>0.26563770199999998</v>
      </c>
      <c r="G415">
        <v>146</v>
      </c>
      <c r="H415">
        <v>41</v>
      </c>
      <c r="I415">
        <v>0.63343982200000004</v>
      </c>
      <c r="J415">
        <v>0.88563175100000002</v>
      </c>
      <c r="K415">
        <f>IF(C415=C414,K414+1,1)</f>
        <v>1</v>
      </c>
      <c r="L415">
        <f>MIN(((374/K415)*I415),L416)</f>
        <v>12.029913156800001</v>
      </c>
      <c r="M415">
        <f>-LOG10(L415)</f>
        <v>-1.0802624922061221</v>
      </c>
    </row>
    <row r="416" spans="1:13" x14ac:dyDescent="0.2">
      <c r="A416" t="s">
        <v>288</v>
      </c>
      <c r="B416" t="s">
        <v>24</v>
      </c>
      <c r="C416" t="s">
        <v>25</v>
      </c>
      <c r="D416">
        <v>-0.126125867</v>
      </c>
      <c r="E416" s="7">
        <f>ABS(D416)</f>
        <v>0.126125867</v>
      </c>
      <c r="F416">
        <v>0.153413462</v>
      </c>
      <c r="G416">
        <v>146</v>
      </c>
      <c r="H416">
        <v>26</v>
      </c>
      <c r="I416">
        <v>0.4123714</v>
      </c>
      <c r="J416">
        <v>0.83227865999999995</v>
      </c>
      <c r="K416">
        <f>IF(C416=C415,K415+1,1)</f>
        <v>1</v>
      </c>
      <c r="L416">
        <f>MIN(((374/K416)*I416),L417)</f>
        <v>12.029913156800001</v>
      </c>
      <c r="M416">
        <f>-LOG10(L416)</f>
        <v>-1.0802624922061221</v>
      </c>
    </row>
    <row r="417" spans="1:13" x14ac:dyDescent="0.2">
      <c r="A417" t="s">
        <v>47</v>
      </c>
      <c r="B417" t="s">
        <v>24</v>
      </c>
      <c r="C417" t="s">
        <v>25</v>
      </c>
      <c r="D417">
        <v>0.12563686600000001</v>
      </c>
      <c r="E417" s="7">
        <f>ABS(D417)</f>
        <v>0.12563686600000001</v>
      </c>
      <c r="F417">
        <v>0.17519441699999999</v>
      </c>
      <c r="G417">
        <v>146</v>
      </c>
      <c r="H417">
        <v>48</v>
      </c>
      <c r="I417">
        <v>0.47446469099999999</v>
      </c>
      <c r="J417">
        <v>0.84421080100000001</v>
      </c>
      <c r="K417">
        <f>IF(C417=C416,K416+1,1)</f>
        <v>2</v>
      </c>
      <c r="L417">
        <f>MIN(((374/K417)*I417),L418)</f>
        <v>12.029913156800001</v>
      </c>
      <c r="M417">
        <f>-LOG10(L417)</f>
        <v>-1.0802624922061221</v>
      </c>
    </row>
    <row r="418" spans="1:13" x14ac:dyDescent="0.2">
      <c r="A418" t="s">
        <v>295</v>
      </c>
      <c r="B418" t="s">
        <v>10</v>
      </c>
      <c r="C418" t="s">
        <v>11</v>
      </c>
      <c r="D418">
        <v>0.125484807</v>
      </c>
      <c r="E418" s="7">
        <f>ABS(D418)</f>
        <v>0.125484807</v>
      </c>
      <c r="F418">
        <v>0.15915989</v>
      </c>
      <c r="G418">
        <v>146</v>
      </c>
      <c r="H418">
        <v>33</v>
      </c>
      <c r="I418">
        <v>0.431756268</v>
      </c>
      <c r="J418">
        <v>0.83666758600000002</v>
      </c>
      <c r="K418">
        <f>IF(C418=C417,K417+1,1)</f>
        <v>1</v>
      </c>
      <c r="L418">
        <f>MIN(((374/K418)*I418),L419)</f>
        <v>12.029913156800001</v>
      </c>
      <c r="M418">
        <f>-LOG10(L418)</f>
        <v>-1.0802624922061221</v>
      </c>
    </row>
    <row r="419" spans="1:13" x14ac:dyDescent="0.2">
      <c r="A419" t="s">
        <v>304</v>
      </c>
      <c r="B419" t="s">
        <v>10</v>
      </c>
      <c r="C419" t="s">
        <v>11</v>
      </c>
      <c r="D419">
        <v>-0.124918407</v>
      </c>
      <c r="E419" s="7">
        <f>ABS(D419)</f>
        <v>0.124918407</v>
      </c>
      <c r="F419">
        <v>0.168361855</v>
      </c>
      <c r="G419">
        <v>146</v>
      </c>
      <c r="H419">
        <v>37</v>
      </c>
      <c r="I419">
        <v>0.45932615100000002</v>
      </c>
      <c r="J419">
        <v>0.84421080100000001</v>
      </c>
      <c r="K419">
        <f>IF(C419=C418,K418+1,1)</f>
        <v>2</v>
      </c>
      <c r="L419">
        <f>MIN(((374/K419)*I419),L420)</f>
        <v>12.029913156800001</v>
      </c>
      <c r="M419">
        <f>-LOG10(L419)</f>
        <v>-1.0802624922061221</v>
      </c>
    </row>
    <row r="420" spans="1:13" x14ac:dyDescent="0.2">
      <c r="A420" t="s">
        <v>211</v>
      </c>
      <c r="B420" t="s">
        <v>10</v>
      </c>
      <c r="C420" t="s">
        <v>11</v>
      </c>
      <c r="D420">
        <v>0.123995762</v>
      </c>
      <c r="E420" s="7">
        <f>ABS(D420)</f>
        <v>0.123995762</v>
      </c>
      <c r="F420">
        <v>0.102954974</v>
      </c>
      <c r="G420">
        <v>146</v>
      </c>
      <c r="H420">
        <v>19</v>
      </c>
      <c r="I420">
        <v>0.23043665999999999</v>
      </c>
      <c r="J420">
        <v>0.70642057999999996</v>
      </c>
      <c r="K420">
        <f>IF(C420=C419,K419+1,1)</f>
        <v>3</v>
      </c>
      <c r="L420">
        <f>MIN(((374/K420)*I420),L421)</f>
        <v>12.029913156800001</v>
      </c>
      <c r="M420">
        <f>-LOG10(L420)</f>
        <v>-1.0802624922061221</v>
      </c>
    </row>
    <row r="421" spans="1:13" x14ac:dyDescent="0.2">
      <c r="A421" t="s">
        <v>262</v>
      </c>
      <c r="B421" t="s">
        <v>24</v>
      </c>
      <c r="C421" t="s">
        <v>25</v>
      </c>
      <c r="D421">
        <v>-0.123701503</v>
      </c>
      <c r="E421" s="7">
        <f>ABS(D421)</f>
        <v>0.123701503</v>
      </c>
      <c r="F421">
        <v>0.12617203699999999</v>
      </c>
      <c r="G421">
        <v>146</v>
      </c>
      <c r="H421">
        <v>19</v>
      </c>
      <c r="I421">
        <v>0.32853496599999998</v>
      </c>
      <c r="J421">
        <v>0.77199142799999998</v>
      </c>
      <c r="K421">
        <f>IF(C421=C420,K420+1,1)</f>
        <v>1</v>
      </c>
      <c r="L421">
        <f>MIN(((374/K421)*I421),L422)</f>
        <v>12.029913156800001</v>
      </c>
      <c r="M421">
        <f>-LOG10(L421)</f>
        <v>-1.0802624922061221</v>
      </c>
    </row>
    <row r="422" spans="1:13" x14ac:dyDescent="0.2">
      <c r="A422" t="s">
        <v>345</v>
      </c>
      <c r="B422" t="s">
        <v>10</v>
      </c>
      <c r="C422" t="s">
        <v>11</v>
      </c>
      <c r="D422">
        <v>-0.12365656799999999</v>
      </c>
      <c r="E422" s="7">
        <f>ABS(D422)</f>
        <v>0.12365656799999999</v>
      </c>
      <c r="F422">
        <v>0.219303795</v>
      </c>
      <c r="G422">
        <v>146</v>
      </c>
      <c r="H422">
        <v>34</v>
      </c>
      <c r="I422">
        <v>0.57373285100000004</v>
      </c>
      <c r="J422">
        <v>0.86049899200000002</v>
      </c>
      <c r="K422">
        <f>IF(C422=C421,K421+1,1)</f>
        <v>1</v>
      </c>
      <c r="L422">
        <f>MIN(((374/K422)*I422),L423)</f>
        <v>12.029913156800001</v>
      </c>
      <c r="M422">
        <f>-LOG10(L422)</f>
        <v>-1.0802624922061221</v>
      </c>
    </row>
    <row r="423" spans="1:13" x14ac:dyDescent="0.2">
      <c r="A423" t="s">
        <v>257</v>
      </c>
      <c r="B423" t="s">
        <v>24</v>
      </c>
      <c r="C423" t="s">
        <v>25</v>
      </c>
      <c r="D423">
        <v>-0.123367881</v>
      </c>
      <c r="E423" s="7">
        <f>ABS(D423)</f>
        <v>0.123367881</v>
      </c>
      <c r="F423">
        <v>0.122216143</v>
      </c>
      <c r="G423">
        <v>146</v>
      </c>
      <c r="H423">
        <v>20</v>
      </c>
      <c r="I423">
        <v>0.31447640599999999</v>
      </c>
      <c r="J423">
        <v>0.75393702399999996</v>
      </c>
      <c r="K423">
        <f>IF(C423=C422,K422+1,1)</f>
        <v>1</v>
      </c>
      <c r="L423">
        <f>MIN(((374/K423)*I423),L424)</f>
        <v>12.029913156800001</v>
      </c>
      <c r="M423">
        <f>-LOG10(L423)</f>
        <v>-1.0802624922061221</v>
      </c>
    </row>
    <row r="424" spans="1:13" x14ac:dyDescent="0.2">
      <c r="A424" t="s">
        <v>231</v>
      </c>
      <c r="B424" t="s">
        <v>10</v>
      </c>
      <c r="C424" t="s">
        <v>11</v>
      </c>
      <c r="D424">
        <v>0.123258911</v>
      </c>
      <c r="E424" s="7">
        <f>ABS(D424)</f>
        <v>0.123258911</v>
      </c>
      <c r="F424">
        <v>0.10998419</v>
      </c>
      <c r="G424">
        <v>146</v>
      </c>
      <c r="H424">
        <v>15</v>
      </c>
      <c r="I424">
        <v>0.264295585</v>
      </c>
      <c r="J424">
        <v>0.73491857699999996</v>
      </c>
      <c r="K424">
        <f>IF(C424=C423,K423+1,1)</f>
        <v>1</v>
      </c>
      <c r="L424">
        <f>MIN(((374/K424)*I424),L425)</f>
        <v>12.029913156800001</v>
      </c>
      <c r="M424">
        <f>-LOG10(L424)</f>
        <v>-1.0802624922061221</v>
      </c>
    </row>
    <row r="425" spans="1:13" x14ac:dyDescent="0.2">
      <c r="A425" t="s">
        <v>147</v>
      </c>
      <c r="B425" t="s">
        <v>24</v>
      </c>
      <c r="C425" t="s">
        <v>25</v>
      </c>
      <c r="D425">
        <v>0.12225826099999999</v>
      </c>
      <c r="E425" s="7">
        <f>ABS(D425)</f>
        <v>0.12225826099999999</v>
      </c>
      <c r="F425">
        <v>0.14463606400000001</v>
      </c>
      <c r="G425">
        <v>146</v>
      </c>
      <c r="H425">
        <v>29</v>
      </c>
      <c r="I425">
        <v>0.39936549999999998</v>
      </c>
      <c r="J425">
        <v>0.82293497000000004</v>
      </c>
      <c r="K425">
        <f>IF(C425=C424,K424+1,1)</f>
        <v>1</v>
      </c>
      <c r="L425">
        <f>MIN(((374/K425)*I425),L426)</f>
        <v>12.029913156800001</v>
      </c>
      <c r="M425">
        <f>-LOG10(L425)</f>
        <v>-1.0802624922061221</v>
      </c>
    </row>
    <row r="426" spans="1:13" x14ac:dyDescent="0.2">
      <c r="A426" t="s">
        <v>232</v>
      </c>
      <c r="B426" t="s">
        <v>24</v>
      </c>
      <c r="C426" t="s">
        <v>25</v>
      </c>
      <c r="D426">
        <v>-0.121402834</v>
      </c>
      <c r="E426" s="7">
        <f>ABS(D426)</f>
        <v>0.121402834</v>
      </c>
      <c r="F426">
        <v>0.15247770999999999</v>
      </c>
      <c r="G426">
        <v>146</v>
      </c>
      <c r="H426">
        <v>33</v>
      </c>
      <c r="I426">
        <v>0.42723528100000002</v>
      </c>
      <c r="J426">
        <v>0.83666758600000002</v>
      </c>
      <c r="K426">
        <f>IF(C426=C425,K425+1,1)</f>
        <v>2</v>
      </c>
      <c r="L426">
        <f>MIN(((374/K426)*I426),L427)</f>
        <v>12.029913156800001</v>
      </c>
      <c r="M426">
        <f>-LOG10(L426)</f>
        <v>-1.0802624922061221</v>
      </c>
    </row>
    <row r="427" spans="1:13" x14ac:dyDescent="0.2">
      <c r="A427" t="s">
        <v>282</v>
      </c>
      <c r="B427" t="s">
        <v>24</v>
      </c>
      <c r="C427" t="s">
        <v>25</v>
      </c>
      <c r="D427">
        <v>-0.12031921499999999</v>
      </c>
      <c r="E427" s="7">
        <f>ABS(D427)</f>
        <v>0.12031921499999999</v>
      </c>
      <c r="F427">
        <v>0.14075256999999999</v>
      </c>
      <c r="G427">
        <v>146</v>
      </c>
      <c r="H427">
        <v>30</v>
      </c>
      <c r="I427">
        <v>0.39407634699999999</v>
      </c>
      <c r="J427">
        <v>0.81653492299999997</v>
      </c>
      <c r="K427">
        <f>IF(C427=C426,K426+1,1)</f>
        <v>3</v>
      </c>
      <c r="L427">
        <f>MIN(((374/K427)*I427),L428)</f>
        <v>12.029913156800001</v>
      </c>
      <c r="M427">
        <f>-LOG10(L427)</f>
        <v>-1.0802624922061221</v>
      </c>
    </row>
    <row r="428" spans="1:13" x14ac:dyDescent="0.2">
      <c r="A428" t="s">
        <v>50</v>
      </c>
      <c r="B428" t="s">
        <v>24</v>
      </c>
      <c r="C428" t="s">
        <v>25</v>
      </c>
      <c r="D428">
        <v>0.11977839</v>
      </c>
      <c r="E428" s="7">
        <f>ABS(D428)</f>
        <v>0.11977839</v>
      </c>
      <c r="F428">
        <v>0.13238893600000001</v>
      </c>
      <c r="G428">
        <v>146</v>
      </c>
      <c r="H428">
        <v>25</v>
      </c>
      <c r="I428">
        <v>0.36712159700000002</v>
      </c>
      <c r="J428">
        <v>0.79251592199999998</v>
      </c>
      <c r="K428">
        <f>IF(C428=C427,K427+1,1)</f>
        <v>4</v>
      </c>
      <c r="L428">
        <f>MIN(((374/K428)*I428),L429)</f>
        <v>12.029913156800001</v>
      </c>
      <c r="M428">
        <f>-LOG10(L428)</f>
        <v>-1.0802624922061221</v>
      </c>
    </row>
    <row r="429" spans="1:13" x14ac:dyDescent="0.2">
      <c r="A429" t="s">
        <v>181</v>
      </c>
      <c r="B429" t="s">
        <v>24</v>
      </c>
      <c r="C429" t="s">
        <v>25</v>
      </c>
      <c r="D429">
        <v>-0.11967720900000001</v>
      </c>
      <c r="E429" s="7">
        <f>ABS(D429)</f>
        <v>0.11967720900000001</v>
      </c>
      <c r="F429">
        <v>8.4901290000000004E-2</v>
      </c>
      <c r="G429">
        <v>146</v>
      </c>
      <c r="H429">
        <v>15</v>
      </c>
      <c r="I429">
        <v>0.16082771600000001</v>
      </c>
      <c r="J429">
        <v>0.59944281600000004</v>
      </c>
      <c r="K429">
        <f>IF(C429=C428,K428+1,1)</f>
        <v>5</v>
      </c>
      <c r="L429">
        <f>MIN(((374/K429)*I429),L430)</f>
        <v>12.029913156800001</v>
      </c>
      <c r="M429">
        <f>-LOG10(L429)</f>
        <v>-1.0802624922061221</v>
      </c>
    </row>
    <row r="430" spans="1:13" x14ac:dyDescent="0.2">
      <c r="A430" t="s">
        <v>334</v>
      </c>
      <c r="B430" t="s">
        <v>10</v>
      </c>
      <c r="C430" t="s">
        <v>11</v>
      </c>
      <c r="D430">
        <v>0.119651427</v>
      </c>
      <c r="E430" s="7">
        <f>ABS(D430)</f>
        <v>0.119651427</v>
      </c>
      <c r="F430">
        <v>0.21495726600000001</v>
      </c>
      <c r="G430">
        <v>146</v>
      </c>
      <c r="H430">
        <v>19</v>
      </c>
      <c r="I430">
        <v>0.57865105999999999</v>
      </c>
      <c r="J430">
        <v>0.86049899200000002</v>
      </c>
      <c r="K430">
        <f>IF(C430=C429,K429+1,1)</f>
        <v>1</v>
      </c>
      <c r="L430">
        <f>MIN(((374/K430)*I430),L431)</f>
        <v>14.457924240222223</v>
      </c>
      <c r="M430">
        <f>-LOG10(L430)</f>
        <v>-1.1601059447061752</v>
      </c>
    </row>
    <row r="431" spans="1:13" x14ac:dyDescent="0.2">
      <c r="A431" t="s">
        <v>210</v>
      </c>
      <c r="B431" t="s">
        <v>10</v>
      </c>
      <c r="C431" t="s">
        <v>11</v>
      </c>
      <c r="D431">
        <v>-0.118360298</v>
      </c>
      <c r="E431" s="7">
        <f>ABS(D431)</f>
        <v>0.118360298</v>
      </c>
      <c r="F431">
        <v>0.15954612700000001</v>
      </c>
      <c r="G431">
        <v>146</v>
      </c>
      <c r="H431">
        <v>19</v>
      </c>
      <c r="I431">
        <v>0.45939110799999999</v>
      </c>
      <c r="J431">
        <v>0.84421080100000001</v>
      </c>
      <c r="K431">
        <f>IF(C431=C430,K430+1,1)</f>
        <v>2</v>
      </c>
      <c r="L431">
        <f>MIN(((374/K431)*I431),L432)</f>
        <v>14.457924240222223</v>
      </c>
      <c r="M431">
        <f>-LOG10(L431)</f>
        <v>-1.1601059447061752</v>
      </c>
    </row>
    <row r="432" spans="1:13" x14ac:dyDescent="0.2">
      <c r="A432" t="s">
        <v>349</v>
      </c>
      <c r="B432" t="s">
        <v>24</v>
      </c>
      <c r="C432" t="s">
        <v>25</v>
      </c>
      <c r="D432">
        <v>0.117583454</v>
      </c>
      <c r="E432" s="7">
        <f>ABS(D432)</f>
        <v>0.117583454</v>
      </c>
      <c r="F432">
        <v>0.22892685400000001</v>
      </c>
      <c r="G432">
        <v>146</v>
      </c>
      <c r="H432">
        <v>26</v>
      </c>
      <c r="I432">
        <v>0.60830415800000004</v>
      </c>
      <c r="J432">
        <v>0.868914827</v>
      </c>
      <c r="K432">
        <f>IF(C432=C431,K431+1,1)</f>
        <v>1</v>
      </c>
      <c r="L432">
        <f>MIN(((374/K432)*I432),L433)</f>
        <v>14.457924240222223</v>
      </c>
      <c r="M432">
        <f>-LOG10(L432)</f>
        <v>-1.1601059447061752</v>
      </c>
    </row>
    <row r="433" spans="1:13" x14ac:dyDescent="0.2">
      <c r="A433" t="s">
        <v>207</v>
      </c>
      <c r="B433" t="s">
        <v>10</v>
      </c>
      <c r="C433" t="s">
        <v>11</v>
      </c>
      <c r="D433">
        <v>-0.117446012</v>
      </c>
      <c r="E433" s="7">
        <f>ABS(D433)</f>
        <v>0.117446012</v>
      </c>
      <c r="F433">
        <v>0.14527409099999999</v>
      </c>
      <c r="G433">
        <v>146</v>
      </c>
      <c r="H433">
        <v>19</v>
      </c>
      <c r="I433">
        <v>0.42017777099999998</v>
      </c>
      <c r="J433">
        <v>0.83366836200000005</v>
      </c>
      <c r="K433">
        <f>IF(C433=C432,K432+1,1)</f>
        <v>1</v>
      </c>
      <c r="L433">
        <f>MIN(((374/K433)*I433),L434)</f>
        <v>14.457924240222223</v>
      </c>
      <c r="M433">
        <f>-LOG10(L433)</f>
        <v>-1.1601059447061752</v>
      </c>
    </row>
    <row r="434" spans="1:13" x14ac:dyDescent="0.2">
      <c r="A434" t="s">
        <v>294</v>
      </c>
      <c r="B434" t="s">
        <v>10</v>
      </c>
      <c r="C434" t="s">
        <v>11</v>
      </c>
      <c r="D434">
        <v>-0.11695950200000001</v>
      </c>
      <c r="E434" s="7">
        <f>ABS(D434)</f>
        <v>0.11695950200000001</v>
      </c>
      <c r="F434">
        <v>0.143996754</v>
      </c>
      <c r="G434">
        <v>146</v>
      </c>
      <c r="H434">
        <v>32</v>
      </c>
      <c r="I434">
        <v>0.41800568100000002</v>
      </c>
      <c r="J434">
        <v>0.83366836200000005</v>
      </c>
      <c r="K434">
        <f>IF(C434=C433,K433+1,1)</f>
        <v>2</v>
      </c>
      <c r="L434">
        <f>MIN(((374/K434)*I434),L435)</f>
        <v>14.457924240222223</v>
      </c>
      <c r="M434">
        <f>-LOG10(L434)</f>
        <v>-1.1601059447061752</v>
      </c>
    </row>
    <row r="435" spans="1:13" x14ac:dyDescent="0.2">
      <c r="A435" t="s">
        <v>311</v>
      </c>
      <c r="B435" t="s">
        <v>10</v>
      </c>
      <c r="C435" t="s">
        <v>11</v>
      </c>
      <c r="D435">
        <v>-0.116917439</v>
      </c>
      <c r="E435" s="7">
        <f>ABS(D435)</f>
        <v>0.116917439</v>
      </c>
      <c r="F435">
        <v>0.16293237299999999</v>
      </c>
      <c r="G435">
        <v>146</v>
      </c>
      <c r="H435">
        <v>25</v>
      </c>
      <c r="I435">
        <v>0.474185264</v>
      </c>
      <c r="J435">
        <v>0.84421080100000001</v>
      </c>
      <c r="K435">
        <f>IF(C435=C434,K434+1,1)</f>
        <v>3</v>
      </c>
      <c r="L435">
        <f>MIN(((374/K435)*I435),L436)</f>
        <v>14.457924240222223</v>
      </c>
      <c r="M435">
        <f>-LOG10(L435)</f>
        <v>-1.1601059447061752</v>
      </c>
    </row>
    <row r="436" spans="1:13" x14ac:dyDescent="0.2">
      <c r="A436" t="s">
        <v>63</v>
      </c>
      <c r="B436" t="s">
        <v>24</v>
      </c>
      <c r="C436" t="s">
        <v>25</v>
      </c>
      <c r="D436">
        <v>-0.115880899</v>
      </c>
      <c r="E436" s="7">
        <f>ABS(D436)</f>
        <v>0.115880899</v>
      </c>
      <c r="F436">
        <v>0.221803997</v>
      </c>
      <c r="G436">
        <v>146</v>
      </c>
      <c r="H436">
        <v>80</v>
      </c>
      <c r="I436">
        <v>0.60216736699999995</v>
      </c>
      <c r="J436">
        <v>0.868914827</v>
      </c>
      <c r="K436">
        <f>IF(C436=C435,K435+1,1)</f>
        <v>1</v>
      </c>
      <c r="L436">
        <f>MIN(((374/K436)*I436),L437)</f>
        <v>14.457924240222223</v>
      </c>
      <c r="M436">
        <f>-LOG10(L436)</f>
        <v>-1.1601059447061752</v>
      </c>
    </row>
    <row r="437" spans="1:13" x14ac:dyDescent="0.2">
      <c r="A437" t="s">
        <v>276</v>
      </c>
      <c r="B437" t="s">
        <v>10</v>
      </c>
      <c r="C437" t="s">
        <v>11</v>
      </c>
      <c r="D437">
        <v>-0.114479363</v>
      </c>
      <c r="E437" s="7">
        <f>ABS(D437)</f>
        <v>0.114479363</v>
      </c>
      <c r="F437">
        <v>0.12731646999999999</v>
      </c>
      <c r="G437">
        <v>146</v>
      </c>
      <c r="H437">
        <v>19</v>
      </c>
      <c r="I437">
        <v>0.37007283200000002</v>
      </c>
      <c r="J437">
        <v>0.79251592199999998</v>
      </c>
      <c r="K437">
        <f>IF(C437=C436,K436+1,1)</f>
        <v>1</v>
      </c>
      <c r="L437">
        <f>MIN(((374/K437)*I437),L438)</f>
        <v>14.457924240222223</v>
      </c>
      <c r="M437">
        <f>-LOG10(L437)</f>
        <v>-1.1601059447061752</v>
      </c>
    </row>
    <row r="438" spans="1:13" x14ac:dyDescent="0.2">
      <c r="A438" t="s">
        <v>319</v>
      </c>
      <c r="B438" t="s">
        <v>24</v>
      </c>
      <c r="C438" t="s">
        <v>25</v>
      </c>
      <c r="D438">
        <v>-0.114091136</v>
      </c>
      <c r="E438" s="7">
        <f>ABS(D438)</f>
        <v>0.114091136</v>
      </c>
      <c r="F438">
        <v>0.17093865999999999</v>
      </c>
      <c r="G438">
        <v>146</v>
      </c>
      <c r="H438">
        <v>31</v>
      </c>
      <c r="I438">
        <v>0.50556738800000001</v>
      </c>
      <c r="J438">
        <v>0.85557557900000003</v>
      </c>
      <c r="K438">
        <f>IF(C438=C437,K437+1,1)</f>
        <v>1</v>
      </c>
      <c r="L438">
        <f>MIN(((374/K438)*I438),L439)</f>
        <v>14.457924240222223</v>
      </c>
      <c r="M438">
        <f>-LOG10(L438)</f>
        <v>-1.1601059447061752</v>
      </c>
    </row>
    <row r="439" spans="1:13" x14ac:dyDescent="0.2">
      <c r="A439" t="s">
        <v>263</v>
      </c>
      <c r="B439" t="s">
        <v>10</v>
      </c>
      <c r="C439" t="s">
        <v>11</v>
      </c>
      <c r="D439">
        <v>-0.113204792</v>
      </c>
      <c r="E439" s="7">
        <f>ABS(D439)</f>
        <v>0.113204792</v>
      </c>
      <c r="F439">
        <v>0.11749126999999999</v>
      </c>
      <c r="G439">
        <v>146</v>
      </c>
      <c r="H439">
        <v>24</v>
      </c>
      <c r="I439">
        <v>0.33691484100000002</v>
      </c>
      <c r="J439">
        <v>0.77889163400000005</v>
      </c>
      <c r="K439">
        <f>IF(C439=C438,K438+1,1)</f>
        <v>1</v>
      </c>
      <c r="L439">
        <f>MIN(((374/K439)*I439),L440)</f>
        <v>14.457924240222223</v>
      </c>
      <c r="M439">
        <f>-LOG10(L439)</f>
        <v>-1.1601059447061752</v>
      </c>
    </row>
    <row r="440" spans="1:13" x14ac:dyDescent="0.2">
      <c r="A440" t="s">
        <v>359</v>
      </c>
      <c r="B440" t="s">
        <v>24</v>
      </c>
      <c r="C440" t="s">
        <v>25</v>
      </c>
      <c r="D440">
        <v>0.11288498499999999</v>
      </c>
      <c r="E440" s="7">
        <f>ABS(D440)</f>
        <v>0.11288498499999999</v>
      </c>
      <c r="F440">
        <v>0.27781856100000002</v>
      </c>
      <c r="G440">
        <v>146</v>
      </c>
      <c r="H440">
        <v>52</v>
      </c>
      <c r="I440">
        <v>0.68511029800000001</v>
      </c>
      <c r="J440">
        <v>0.90274859299999999</v>
      </c>
      <c r="K440">
        <f>IF(C440=C439,K439+1,1)</f>
        <v>1</v>
      </c>
      <c r="L440">
        <f>MIN(((374/K440)*I440),L441)</f>
        <v>14.457924240222223</v>
      </c>
      <c r="M440">
        <f>-LOG10(L440)</f>
        <v>-1.1601059447061752</v>
      </c>
    </row>
    <row r="441" spans="1:13" x14ac:dyDescent="0.2">
      <c r="A441" t="s">
        <v>163</v>
      </c>
      <c r="B441" t="s">
        <v>24</v>
      </c>
      <c r="C441" t="s">
        <v>25</v>
      </c>
      <c r="D441">
        <v>-0.112832961</v>
      </c>
      <c r="E441" s="7">
        <f>ABS(D441)</f>
        <v>0.112832961</v>
      </c>
      <c r="F441">
        <v>0.191727228</v>
      </c>
      <c r="G441">
        <v>146</v>
      </c>
      <c r="H441">
        <v>42</v>
      </c>
      <c r="I441">
        <v>0.55711991800000005</v>
      </c>
      <c r="J441">
        <v>0.85640127899999996</v>
      </c>
      <c r="K441">
        <f>IF(C441=C440,K440+1,1)</f>
        <v>2</v>
      </c>
      <c r="L441">
        <f>MIN(((374/K441)*I441),L442)</f>
        <v>14.457924240222223</v>
      </c>
      <c r="M441">
        <f>-LOG10(L441)</f>
        <v>-1.1601059447061752</v>
      </c>
    </row>
    <row r="442" spans="1:13" x14ac:dyDescent="0.2">
      <c r="A442" t="s">
        <v>104</v>
      </c>
      <c r="B442" t="s">
        <v>24</v>
      </c>
      <c r="C442" t="s">
        <v>25</v>
      </c>
      <c r="D442">
        <v>-0.112776611</v>
      </c>
      <c r="E442" s="7">
        <f>ABS(D442)</f>
        <v>0.112776611</v>
      </c>
      <c r="F442">
        <v>0.23283387</v>
      </c>
      <c r="G442">
        <v>146</v>
      </c>
      <c r="H442">
        <v>35</v>
      </c>
      <c r="I442">
        <v>0.62886777999999999</v>
      </c>
      <c r="J442">
        <v>0.88088595300000005</v>
      </c>
      <c r="K442">
        <f>IF(C442=C441,K441+1,1)</f>
        <v>3</v>
      </c>
      <c r="L442">
        <f>MIN(((374/K442)*I442),L443)</f>
        <v>14.457924240222223</v>
      </c>
      <c r="M442">
        <f>-LOG10(L442)</f>
        <v>-1.1601059447061752</v>
      </c>
    </row>
    <row r="443" spans="1:13" x14ac:dyDescent="0.2">
      <c r="A443" t="s">
        <v>229</v>
      </c>
      <c r="B443" t="s">
        <v>24</v>
      </c>
      <c r="C443" t="s">
        <v>25</v>
      </c>
      <c r="D443">
        <v>-0.112639584</v>
      </c>
      <c r="E443" s="7">
        <f>ABS(D443)</f>
        <v>0.112639584</v>
      </c>
      <c r="F443">
        <v>9.9983744999999999E-2</v>
      </c>
      <c r="G443">
        <v>146</v>
      </c>
      <c r="H443">
        <v>17</v>
      </c>
      <c r="I443">
        <v>0.26180751499999999</v>
      </c>
      <c r="J443">
        <v>0.73484285800000004</v>
      </c>
      <c r="K443">
        <f>IF(C443=C442,K442+1,1)</f>
        <v>4</v>
      </c>
      <c r="L443">
        <f>MIN(((374/K443)*I443),L444)</f>
        <v>14.457924240222223</v>
      </c>
      <c r="M443">
        <f>-LOG10(L443)</f>
        <v>-1.1601059447061752</v>
      </c>
    </row>
    <row r="444" spans="1:13" x14ac:dyDescent="0.2">
      <c r="A444" t="s">
        <v>298</v>
      </c>
      <c r="B444" t="s">
        <v>10</v>
      </c>
      <c r="C444" t="s">
        <v>11</v>
      </c>
      <c r="D444">
        <v>0.11257181099999999</v>
      </c>
      <c r="E444" s="7">
        <f>ABS(D444)</f>
        <v>0.11257181099999999</v>
      </c>
      <c r="F444">
        <v>0.14360942600000001</v>
      </c>
      <c r="G444">
        <v>146</v>
      </c>
      <c r="H444">
        <v>15</v>
      </c>
      <c r="I444">
        <v>0.43441003299999997</v>
      </c>
      <c r="J444">
        <v>0.837470889</v>
      </c>
      <c r="K444">
        <f>IF(C444=C443,K443+1,1)</f>
        <v>1</v>
      </c>
      <c r="L444">
        <f>MIN(((374/K444)*I444),L445)</f>
        <v>14.457924240222223</v>
      </c>
      <c r="M444">
        <f>-LOG10(L444)</f>
        <v>-1.1601059447061752</v>
      </c>
    </row>
    <row r="445" spans="1:13" x14ac:dyDescent="0.2">
      <c r="A445" t="s">
        <v>332</v>
      </c>
      <c r="B445" t="s">
        <v>24</v>
      </c>
      <c r="C445" t="s">
        <v>25</v>
      </c>
      <c r="D445">
        <v>0.112523542</v>
      </c>
      <c r="E445" s="7">
        <f>ABS(D445)</f>
        <v>0.112523542</v>
      </c>
      <c r="F445">
        <v>0.17081771100000001</v>
      </c>
      <c r="G445">
        <v>146</v>
      </c>
      <c r="H445">
        <v>23</v>
      </c>
      <c r="I445">
        <v>0.51112544900000001</v>
      </c>
      <c r="J445">
        <v>0.85640127899999996</v>
      </c>
      <c r="K445">
        <f>IF(C445=C444,K444+1,1)</f>
        <v>1</v>
      </c>
      <c r="L445">
        <f>MIN(((374/K445)*I445),L446)</f>
        <v>14.457924240222223</v>
      </c>
      <c r="M445">
        <f>-LOG10(L445)</f>
        <v>-1.1601059447061752</v>
      </c>
    </row>
    <row r="446" spans="1:13" x14ac:dyDescent="0.2">
      <c r="A446" t="s">
        <v>150</v>
      </c>
      <c r="B446" t="s">
        <v>24</v>
      </c>
      <c r="C446" t="s">
        <v>25</v>
      </c>
      <c r="D446">
        <v>-0.11167949200000001</v>
      </c>
      <c r="E446" s="7">
        <f>ABS(D446)</f>
        <v>0.11167949200000001</v>
      </c>
      <c r="F446">
        <v>0.23918150299999999</v>
      </c>
      <c r="G446">
        <v>146</v>
      </c>
      <c r="H446">
        <v>26</v>
      </c>
      <c r="I446">
        <v>0.64126515900000003</v>
      </c>
      <c r="J446">
        <v>0.89157312</v>
      </c>
      <c r="K446">
        <f>IF(C446=C445,K445+1,1)</f>
        <v>2</v>
      </c>
      <c r="L446">
        <f>MIN(((374/K446)*I446),L447)</f>
        <v>14.457924240222223</v>
      </c>
      <c r="M446">
        <f>-LOG10(L446)</f>
        <v>-1.1601059447061752</v>
      </c>
    </row>
    <row r="447" spans="1:13" x14ac:dyDescent="0.2">
      <c r="A447" t="s">
        <v>174</v>
      </c>
      <c r="B447" t="s">
        <v>24</v>
      </c>
      <c r="C447" t="s">
        <v>25</v>
      </c>
      <c r="D447">
        <v>0.111212641</v>
      </c>
      <c r="E447" s="7">
        <f>ABS(D447)</f>
        <v>0.111212641</v>
      </c>
      <c r="F447">
        <v>0.10279118800000001</v>
      </c>
      <c r="G447">
        <v>146</v>
      </c>
      <c r="H447">
        <v>18</v>
      </c>
      <c r="I447">
        <v>0.28110572499999997</v>
      </c>
      <c r="J447">
        <v>0.74902001500000004</v>
      </c>
      <c r="K447">
        <f>IF(C447=C446,K446+1,1)</f>
        <v>3</v>
      </c>
      <c r="L447">
        <f>MIN(((374/K447)*I447),L448)</f>
        <v>14.457924240222223</v>
      </c>
      <c r="M447">
        <f>-LOG10(L447)</f>
        <v>-1.1601059447061752</v>
      </c>
    </row>
    <row r="448" spans="1:13" x14ac:dyDescent="0.2">
      <c r="A448" t="s">
        <v>13</v>
      </c>
      <c r="B448" t="s">
        <v>24</v>
      </c>
      <c r="C448" t="s">
        <v>25</v>
      </c>
      <c r="D448">
        <v>-0.111208548</v>
      </c>
      <c r="E448" s="7">
        <f>ABS(D448)</f>
        <v>0.111208548</v>
      </c>
      <c r="F448">
        <v>0.124442277</v>
      </c>
      <c r="G448">
        <v>146</v>
      </c>
      <c r="H448">
        <v>40</v>
      </c>
      <c r="I448">
        <v>0.37300767800000001</v>
      </c>
      <c r="J448">
        <v>0.79251592199999998</v>
      </c>
      <c r="K448">
        <f>IF(C448=C447,K447+1,1)</f>
        <v>4</v>
      </c>
      <c r="L448">
        <f>MIN(((374/K448)*I448),L449)</f>
        <v>14.457924240222223</v>
      </c>
      <c r="M448">
        <f>-LOG10(L448)</f>
        <v>-1.1601059447061752</v>
      </c>
    </row>
    <row r="449" spans="1:13" x14ac:dyDescent="0.2">
      <c r="A449" t="s">
        <v>266</v>
      </c>
      <c r="B449" t="s">
        <v>24</v>
      </c>
      <c r="C449" t="s">
        <v>25</v>
      </c>
      <c r="D449">
        <v>0.11097434</v>
      </c>
      <c r="E449" s="7">
        <f>ABS(D449)</f>
        <v>0.11097434</v>
      </c>
      <c r="F449">
        <v>0.114607377</v>
      </c>
      <c r="G449">
        <v>146</v>
      </c>
      <c r="H449">
        <v>26</v>
      </c>
      <c r="I449">
        <v>0.33452933699999998</v>
      </c>
      <c r="J449">
        <v>0.77889163400000005</v>
      </c>
      <c r="K449">
        <f>IF(C449=C448,K448+1,1)</f>
        <v>5</v>
      </c>
      <c r="L449">
        <f>MIN(((374/K449)*I449),L450)</f>
        <v>14.457924240222223</v>
      </c>
      <c r="M449">
        <f>-LOG10(L449)</f>
        <v>-1.1601059447061752</v>
      </c>
    </row>
    <row r="450" spans="1:13" x14ac:dyDescent="0.2">
      <c r="A450" t="s">
        <v>317</v>
      </c>
      <c r="B450" t="s">
        <v>24</v>
      </c>
      <c r="C450" t="s">
        <v>25</v>
      </c>
      <c r="D450">
        <v>-0.110686375</v>
      </c>
      <c r="E450" s="7">
        <f>ABS(D450)</f>
        <v>0.110686375</v>
      </c>
      <c r="F450">
        <v>0.164088119</v>
      </c>
      <c r="G450">
        <v>146</v>
      </c>
      <c r="H450">
        <v>40</v>
      </c>
      <c r="I450">
        <v>0.50104794699999999</v>
      </c>
      <c r="J450">
        <v>0.85109879300000002</v>
      </c>
      <c r="K450">
        <f>IF(C450=C449,K449+1,1)</f>
        <v>6</v>
      </c>
      <c r="L450">
        <f>MIN(((374/K450)*I450),L451)</f>
        <v>14.457924240222223</v>
      </c>
      <c r="M450">
        <f>-LOG10(L450)</f>
        <v>-1.1601059447061752</v>
      </c>
    </row>
    <row r="451" spans="1:13" x14ac:dyDescent="0.2">
      <c r="A451" t="s">
        <v>287</v>
      </c>
      <c r="B451" t="s">
        <v>10</v>
      </c>
      <c r="C451" t="s">
        <v>11</v>
      </c>
      <c r="D451">
        <v>-0.11050318200000001</v>
      </c>
      <c r="E451" s="7">
        <f>ABS(D451)</f>
        <v>0.11050318200000001</v>
      </c>
      <c r="F451">
        <v>0.13257296199999999</v>
      </c>
      <c r="G451">
        <v>146</v>
      </c>
      <c r="H451">
        <v>16</v>
      </c>
      <c r="I451">
        <v>0.40593750699999998</v>
      </c>
      <c r="J451">
        <v>0.82511210700000004</v>
      </c>
      <c r="K451">
        <f>IF(C451=C450,K450+1,1)</f>
        <v>1</v>
      </c>
      <c r="L451">
        <f>MIN(((374/K451)*I451),L452)</f>
        <v>14.457924240222223</v>
      </c>
      <c r="M451">
        <f>-LOG10(L451)</f>
        <v>-1.1601059447061752</v>
      </c>
    </row>
    <row r="452" spans="1:13" x14ac:dyDescent="0.2">
      <c r="A452" t="s">
        <v>70</v>
      </c>
      <c r="B452" t="s">
        <v>24</v>
      </c>
      <c r="C452" t="s">
        <v>25</v>
      </c>
      <c r="D452">
        <v>-0.110077364</v>
      </c>
      <c r="E452" s="7">
        <f>ABS(D452)</f>
        <v>0.110077364</v>
      </c>
      <c r="F452">
        <v>0.146507996</v>
      </c>
      <c r="G452">
        <v>146</v>
      </c>
      <c r="H452">
        <v>41</v>
      </c>
      <c r="I452">
        <v>0.453682588</v>
      </c>
      <c r="J452">
        <v>0.84421080100000001</v>
      </c>
      <c r="K452">
        <f>IF(C452=C451,K451+1,1)</f>
        <v>1</v>
      </c>
      <c r="L452">
        <f>MIN(((374/K452)*I452),L453)</f>
        <v>14.457924240222223</v>
      </c>
      <c r="M452">
        <f>-LOG10(L452)</f>
        <v>-1.1601059447061752</v>
      </c>
    </row>
    <row r="453" spans="1:13" x14ac:dyDescent="0.2">
      <c r="A453" t="s">
        <v>37</v>
      </c>
      <c r="B453" t="s">
        <v>24</v>
      </c>
      <c r="C453" t="s">
        <v>25</v>
      </c>
      <c r="D453">
        <v>0.10964976999999999</v>
      </c>
      <c r="E453" s="7">
        <f>ABS(D453)</f>
        <v>0.10964976999999999</v>
      </c>
      <c r="F453">
        <v>0.11416949799999999</v>
      </c>
      <c r="G453">
        <v>146</v>
      </c>
      <c r="H453">
        <v>20</v>
      </c>
      <c r="I453">
        <v>0.33846893700000003</v>
      </c>
      <c r="J453">
        <v>0.77889163400000005</v>
      </c>
      <c r="K453">
        <f>IF(C453=C452,K452+1,1)</f>
        <v>2</v>
      </c>
      <c r="L453">
        <f>MIN(((374/K453)*I453),L454)</f>
        <v>14.457924240222223</v>
      </c>
      <c r="M453">
        <f>-LOG10(L453)</f>
        <v>-1.1601059447061752</v>
      </c>
    </row>
    <row r="454" spans="1:13" x14ac:dyDescent="0.2">
      <c r="A454" t="s">
        <v>52</v>
      </c>
      <c r="B454" t="s">
        <v>24</v>
      </c>
      <c r="C454" t="s">
        <v>25</v>
      </c>
      <c r="D454">
        <v>-0.10916522200000001</v>
      </c>
      <c r="E454" s="7">
        <f>ABS(D454)</f>
        <v>0.10916522200000001</v>
      </c>
      <c r="F454">
        <v>0.29606629699999998</v>
      </c>
      <c r="G454">
        <v>146</v>
      </c>
      <c r="H454">
        <v>138</v>
      </c>
      <c r="I454">
        <v>0.71288262400000002</v>
      </c>
      <c r="J454">
        <v>0.91358856600000005</v>
      </c>
      <c r="K454">
        <f>IF(C454=C453,K453+1,1)</f>
        <v>3</v>
      </c>
      <c r="L454">
        <f>MIN(((374/K454)*I454),L455)</f>
        <v>14.457924240222223</v>
      </c>
      <c r="M454">
        <f>-LOG10(L454)</f>
        <v>-1.1601059447061752</v>
      </c>
    </row>
    <row r="455" spans="1:13" x14ac:dyDescent="0.2">
      <c r="A455" t="s">
        <v>238</v>
      </c>
      <c r="B455" t="s">
        <v>10</v>
      </c>
      <c r="C455" t="s">
        <v>11</v>
      </c>
      <c r="D455">
        <v>0.109069873</v>
      </c>
      <c r="E455" s="7">
        <f>ABS(D455)</f>
        <v>0.109069873</v>
      </c>
      <c r="F455">
        <v>0.10410939399999999</v>
      </c>
      <c r="G455">
        <v>146</v>
      </c>
      <c r="H455">
        <v>18</v>
      </c>
      <c r="I455">
        <v>0.29656886100000002</v>
      </c>
      <c r="J455">
        <v>0.74902001500000004</v>
      </c>
      <c r="K455">
        <f>IF(C455=C454,K454+1,1)</f>
        <v>1</v>
      </c>
      <c r="L455">
        <f>MIN(((374/K455)*I455),L456)</f>
        <v>14.457924240222223</v>
      </c>
      <c r="M455">
        <f>-LOG10(L455)</f>
        <v>-1.1601059447061752</v>
      </c>
    </row>
    <row r="456" spans="1:13" x14ac:dyDescent="0.2">
      <c r="A456" t="s">
        <v>208</v>
      </c>
      <c r="B456" t="s">
        <v>10</v>
      </c>
      <c r="C456" t="s">
        <v>11</v>
      </c>
      <c r="D456">
        <v>0.107961376</v>
      </c>
      <c r="E456" s="7">
        <f>ABS(D456)</f>
        <v>0.107961376</v>
      </c>
      <c r="F456">
        <v>0.17244641399999999</v>
      </c>
      <c r="G456">
        <v>146</v>
      </c>
      <c r="H456">
        <v>40</v>
      </c>
      <c r="I456">
        <v>0.53227522299999996</v>
      </c>
      <c r="J456">
        <v>0.85640127899999996</v>
      </c>
      <c r="K456">
        <f>IF(C456=C455,K455+1,1)</f>
        <v>2</v>
      </c>
      <c r="L456">
        <f>MIN(((374/K456)*I456),L457)</f>
        <v>14.457924240222223</v>
      </c>
      <c r="M456">
        <f>-LOG10(L456)</f>
        <v>-1.1601059447061752</v>
      </c>
    </row>
    <row r="457" spans="1:13" x14ac:dyDescent="0.2">
      <c r="A457" t="s">
        <v>116</v>
      </c>
      <c r="B457" t="s">
        <v>24</v>
      </c>
      <c r="C457" t="s">
        <v>25</v>
      </c>
      <c r="D457">
        <v>-0.10779504400000001</v>
      </c>
      <c r="E457" s="7">
        <f>ABS(D457)</f>
        <v>0.10779504400000001</v>
      </c>
      <c r="F457">
        <v>0.211775307</v>
      </c>
      <c r="G457">
        <v>146</v>
      </c>
      <c r="H457">
        <v>77</v>
      </c>
      <c r="I457">
        <v>0.61153203599999995</v>
      </c>
      <c r="J457">
        <v>0.868914827</v>
      </c>
      <c r="K457">
        <f>IF(C457=C456,K456+1,1)</f>
        <v>1</v>
      </c>
      <c r="L457">
        <f>MIN(((374/K457)*I457),L458)</f>
        <v>14.457924240222223</v>
      </c>
      <c r="M457">
        <f>-LOG10(L457)</f>
        <v>-1.1601059447061752</v>
      </c>
    </row>
    <row r="458" spans="1:13" x14ac:dyDescent="0.2">
      <c r="A458" t="s">
        <v>161</v>
      </c>
      <c r="B458" t="s">
        <v>24</v>
      </c>
      <c r="C458" t="s">
        <v>25</v>
      </c>
      <c r="D458">
        <v>0.107571548</v>
      </c>
      <c r="E458" s="7">
        <f>ABS(D458)</f>
        <v>0.107571548</v>
      </c>
      <c r="F458">
        <v>0.15330617099999999</v>
      </c>
      <c r="G458">
        <v>146</v>
      </c>
      <c r="H458">
        <v>30</v>
      </c>
      <c r="I458">
        <v>0.48402048800000003</v>
      </c>
      <c r="J458">
        <v>0.85046335900000003</v>
      </c>
      <c r="K458">
        <f>IF(C458=C457,K457+1,1)</f>
        <v>2</v>
      </c>
      <c r="L458">
        <f>MIN(((374/K458)*I458),L459)</f>
        <v>14.457924240222223</v>
      </c>
      <c r="M458">
        <f>-LOG10(L458)</f>
        <v>-1.1601059447061752</v>
      </c>
    </row>
    <row r="459" spans="1:13" x14ac:dyDescent="0.2">
      <c r="A459" t="s">
        <v>245</v>
      </c>
      <c r="B459" t="s">
        <v>24</v>
      </c>
      <c r="C459" t="s">
        <v>25</v>
      </c>
      <c r="D459">
        <v>0.10726718</v>
      </c>
      <c r="E459" s="7">
        <f>ABS(D459)</f>
        <v>0.10726718</v>
      </c>
      <c r="F459">
        <v>0.100295353</v>
      </c>
      <c r="G459">
        <v>146</v>
      </c>
      <c r="H459">
        <v>19</v>
      </c>
      <c r="I459">
        <v>0.28664056599999999</v>
      </c>
      <c r="J459">
        <v>0.74902001500000004</v>
      </c>
      <c r="K459">
        <f>IF(C459=C458,K458+1,1)</f>
        <v>3</v>
      </c>
      <c r="L459">
        <f>MIN(((374/K459)*I459),L460)</f>
        <v>14.457924240222223</v>
      </c>
      <c r="M459">
        <f>-LOG10(L459)</f>
        <v>-1.1601059447061752</v>
      </c>
    </row>
    <row r="460" spans="1:13" x14ac:dyDescent="0.2">
      <c r="A460" t="s">
        <v>69</v>
      </c>
      <c r="B460" t="s">
        <v>24</v>
      </c>
      <c r="C460" t="s">
        <v>25</v>
      </c>
      <c r="D460">
        <v>0.107225132</v>
      </c>
      <c r="E460" s="7">
        <f>ABS(D460)</f>
        <v>0.107225132</v>
      </c>
      <c r="F460">
        <v>0.165903039</v>
      </c>
      <c r="G460">
        <v>146</v>
      </c>
      <c r="H460">
        <v>51</v>
      </c>
      <c r="I460">
        <v>0.51911320500000002</v>
      </c>
      <c r="J460">
        <v>0.85640127899999996</v>
      </c>
      <c r="K460">
        <f>IF(C460=C459,K459+1,1)</f>
        <v>4</v>
      </c>
      <c r="L460">
        <f>MIN(((374/K460)*I460),L461)</f>
        <v>14.457924240222223</v>
      </c>
      <c r="M460">
        <f>-LOG10(L460)</f>
        <v>-1.1601059447061752</v>
      </c>
    </row>
    <row r="461" spans="1:13" x14ac:dyDescent="0.2">
      <c r="A461" t="s">
        <v>118</v>
      </c>
      <c r="B461" t="s">
        <v>10</v>
      </c>
      <c r="C461" t="s">
        <v>11</v>
      </c>
      <c r="D461">
        <v>0.10643079799999999</v>
      </c>
      <c r="E461" s="7">
        <f>ABS(D461)</f>
        <v>0.10643079799999999</v>
      </c>
      <c r="F461">
        <v>7.6572054000000001E-2</v>
      </c>
      <c r="G461">
        <v>146</v>
      </c>
      <c r="H461">
        <v>17</v>
      </c>
      <c r="I461">
        <v>0.16670608000000001</v>
      </c>
      <c r="J461">
        <v>0.61426673799999998</v>
      </c>
      <c r="K461">
        <f>IF(C461=C460,K460+1,1)</f>
        <v>1</v>
      </c>
      <c r="L461">
        <f>MIN(((374/K461)*I461),L462)</f>
        <v>14.457924240222223</v>
      </c>
      <c r="M461">
        <f>-LOG10(L461)</f>
        <v>-1.1601059447061752</v>
      </c>
    </row>
    <row r="462" spans="1:13" x14ac:dyDescent="0.2">
      <c r="A462" t="s">
        <v>154</v>
      </c>
      <c r="B462" t="s">
        <v>24</v>
      </c>
      <c r="C462" t="s">
        <v>25</v>
      </c>
      <c r="D462">
        <v>0.106428474</v>
      </c>
      <c r="E462" s="7">
        <f>ABS(D462)</f>
        <v>0.106428474</v>
      </c>
      <c r="F462">
        <v>0.19350806700000001</v>
      </c>
      <c r="G462">
        <v>146</v>
      </c>
      <c r="H462">
        <v>21</v>
      </c>
      <c r="I462">
        <v>0.583180806</v>
      </c>
      <c r="J462">
        <v>0.86551436999999998</v>
      </c>
      <c r="K462">
        <f>IF(C462=C461,K461+1,1)</f>
        <v>1</v>
      </c>
      <c r="L462">
        <f>MIN(((374/K462)*I462),L463)</f>
        <v>14.457924240222223</v>
      </c>
      <c r="M462">
        <f>-LOG10(L462)</f>
        <v>-1.1601059447061752</v>
      </c>
    </row>
    <row r="463" spans="1:13" x14ac:dyDescent="0.2">
      <c r="A463" t="s">
        <v>270</v>
      </c>
      <c r="B463" t="s">
        <v>24</v>
      </c>
      <c r="C463" t="s">
        <v>25</v>
      </c>
      <c r="D463">
        <v>-0.105943828</v>
      </c>
      <c r="E463" s="7">
        <f>ABS(D463)</f>
        <v>0.105943828</v>
      </c>
      <c r="F463">
        <v>0.113669778</v>
      </c>
      <c r="G463">
        <v>146</v>
      </c>
      <c r="H463">
        <v>27</v>
      </c>
      <c r="I463">
        <v>0.35289110499999998</v>
      </c>
      <c r="J463">
        <v>0.78239986699999997</v>
      </c>
      <c r="K463">
        <f>IF(C463=C462,K462+1,1)</f>
        <v>2</v>
      </c>
      <c r="L463">
        <f>MIN(((374/K463)*I463),L464)</f>
        <v>14.457924240222223</v>
      </c>
      <c r="M463">
        <f>-LOG10(L463)</f>
        <v>-1.1601059447061752</v>
      </c>
    </row>
    <row r="464" spans="1:13" x14ac:dyDescent="0.2">
      <c r="A464" t="s">
        <v>164</v>
      </c>
      <c r="B464" t="s">
        <v>24</v>
      </c>
      <c r="C464" t="s">
        <v>25</v>
      </c>
      <c r="D464">
        <v>0.10571976800000001</v>
      </c>
      <c r="E464" s="7">
        <f>ABS(D464)</f>
        <v>0.10571976800000001</v>
      </c>
      <c r="F464">
        <v>0.13378947599999999</v>
      </c>
      <c r="G464">
        <v>146</v>
      </c>
      <c r="H464">
        <v>34</v>
      </c>
      <c r="I464">
        <v>0.430722353</v>
      </c>
      <c r="J464">
        <v>0.83666758600000002</v>
      </c>
      <c r="K464">
        <f>IF(C464=C463,K463+1,1)</f>
        <v>3</v>
      </c>
      <c r="L464">
        <f>MIN(((374/K464)*I464),L465)</f>
        <v>14.457924240222223</v>
      </c>
      <c r="M464">
        <f>-LOG10(L464)</f>
        <v>-1.1601059447061752</v>
      </c>
    </row>
    <row r="465" spans="1:13" x14ac:dyDescent="0.2">
      <c r="A465" t="s">
        <v>128</v>
      </c>
      <c r="B465" t="s">
        <v>24</v>
      </c>
      <c r="C465" t="s">
        <v>25</v>
      </c>
      <c r="D465">
        <v>-0.105354188</v>
      </c>
      <c r="E465" s="7">
        <f>ABS(D465)</f>
        <v>0.105354188</v>
      </c>
      <c r="F465">
        <v>0.15518683699999999</v>
      </c>
      <c r="G465">
        <v>146</v>
      </c>
      <c r="H465">
        <v>32</v>
      </c>
      <c r="I465">
        <v>0.49830729200000001</v>
      </c>
      <c r="J465">
        <v>0.85109879300000002</v>
      </c>
      <c r="K465">
        <f>IF(C465=C464,K464+1,1)</f>
        <v>4</v>
      </c>
      <c r="L465">
        <f>MIN(((374/K465)*I465),L466)</f>
        <v>14.457924240222223</v>
      </c>
      <c r="M465">
        <f>-LOG10(L465)</f>
        <v>-1.1601059447061752</v>
      </c>
    </row>
    <row r="466" spans="1:13" x14ac:dyDescent="0.2">
      <c r="A466" t="s">
        <v>115</v>
      </c>
      <c r="B466" t="s">
        <v>24</v>
      </c>
      <c r="C466" t="s">
        <v>25</v>
      </c>
      <c r="D466">
        <v>0.10441560499999999</v>
      </c>
      <c r="E466" s="7">
        <f>ABS(D466)</f>
        <v>0.10441560499999999</v>
      </c>
      <c r="F466">
        <v>0.21528450499999999</v>
      </c>
      <c r="G466">
        <v>146</v>
      </c>
      <c r="H466">
        <v>64</v>
      </c>
      <c r="I466">
        <v>0.62840987699999995</v>
      </c>
      <c r="J466">
        <v>0.88088595300000005</v>
      </c>
      <c r="K466">
        <f>IF(C466=C465,K465+1,1)</f>
        <v>5</v>
      </c>
      <c r="L466">
        <f>MIN(((374/K466)*I466),L467)</f>
        <v>14.457924240222223</v>
      </c>
      <c r="M466">
        <f>-LOG10(L466)</f>
        <v>-1.1601059447061752</v>
      </c>
    </row>
    <row r="467" spans="1:13" x14ac:dyDescent="0.2">
      <c r="A467" t="s">
        <v>258</v>
      </c>
      <c r="B467" t="s">
        <v>10</v>
      </c>
      <c r="C467" t="s">
        <v>11</v>
      </c>
      <c r="D467">
        <v>-0.104079826</v>
      </c>
      <c r="E467" s="7">
        <f>ABS(D467)</f>
        <v>0.104079826</v>
      </c>
      <c r="F467">
        <v>0.13761300500000001</v>
      </c>
      <c r="G467">
        <v>146</v>
      </c>
      <c r="H467">
        <v>17</v>
      </c>
      <c r="I467">
        <v>0.450699982</v>
      </c>
      <c r="J467">
        <v>0.84421080100000001</v>
      </c>
      <c r="K467">
        <f>IF(C467=C466,K466+1,1)</f>
        <v>1</v>
      </c>
      <c r="L467">
        <f>MIN(((374/K467)*I467),L468)</f>
        <v>14.457924240222223</v>
      </c>
      <c r="M467">
        <f>-LOG10(L467)</f>
        <v>-1.1601059447061752</v>
      </c>
    </row>
    <row r="468" spans="1:13" x14ac:dyDescent="0.2">
      <c r="A468" t="s">
        <v>299</v>
      </c>
      <c r="B468" t="s">
        <v>24</v>
      </c>
      <c r="C468" t="s">
        <v>25</v>
      </c>
      <c r="D468">
        <v>-0.103633315</v>
      </c>
      <c r="E468" s="7">
        <f>ABS(D468)</f>
        <v>0.103633315</v>
      </c>
      <c r="F468">
        <v>0.13188977700000001</v>
      </c>
      <c r="G468">
        <v>146</v>
      </c>
      <c r="H468">
        <v>24</v>
      </c>
      <c r="I468">
        <v>0.43330989199999997</v>
      </c>
      <c r="J468">
        <v>0.837470889</v>
      </c>
      <c r="K468">
        <f>IF(C468=C467,K467+1,1)</f>
        <v>1</v>
      </c>
      <c r="L468">
        <f>MIN(((374/K468)*I468),L469)</f>
        <v>14.457924240222223</v>
      </c>
      <c r="M468">
        <f>-LOG10(L468)</f>
        <v>-1.1601059447061752</v>
      </c>
    </row>
    <row r="469" spans="1:13" x14ac:dyDescent="0.2">
      <c r="A469" t="s">
        <v>346</v>
      </c>
      <c r="B469" t="s">
        <v>24</v>
      </c>
      <c r="C469" t="s">
        <v>25</v>
      </c>
      <c r="D469">
        <v>0.103547273</v>
      </c>
      <c r="E469" s="7">
        <f>ABS(D469)</f>
        <v>0.103547273</v>
      </c>
      <c r="F469">
        <v>0.19042941299999999</v>
      </c>
      <c r="G469">
        <v>146</v>
      </c>
      <c r="H469">
        <v>23</v>
      </c>
      <c r="I469">
        <v>0.58745562900000003</v>
      </c>
      <c r="J469">
        <v>0.86651814100000002</v>
      </c>
      <c r="K469">
        <f>IF(C469=C468,K468+1,1)</f>
        <v>2</v>
      </c>
      <c r="L469">
        <f>MIN(((374/K469)*I469),L470)</f>
        <v>14.457924240222223</v>
      </c>
      <c r="M469">
        <f>-LOG10(L469)</f>
        <v>-1.1601059447061752</v>
      </c>
    </row>
    <row r="470" spans="1:13" x14ac:dyDescent="0.2">
      <c r="A470" t="s">
        <v>328</v>
      </c>
      <c r="B470" t="s">
        <v>10</v>
      </c>
      <c r="C470" t="s">
        <v>11</v>
      </c>
      <c r="D470">
        <v>-0.103402455</v>
      </c>
      <c r="E470" s="7">
        <f>ABS(D470)</f>
        <v>0.103402455</v>
      </c>
      <c r="F470">
        <v>0.35604127200000002</v>
      </c>
      <c r="G470">
        <v>146</v>
      </c>
      <c r="H470">
        <v>36</v>
      </c>
      <c r="I470">
        <v>0.77191365000000001</v>
      </c>
      <c r="J470">
        <v>0.93579157999999996</v>
      </c>
      <c r="K470">
        <f>IF(C470=C469,K469+1,1)</f>
        <v>1</v>
      </c>
      <c r="L470">
        <f>MIN(((374/K470)*I470),L471)</f>
        <v>14.457924240222223</v>
      </c>
      <c r="M470">
        <f>-LOG10(L470)</f>
        <v>-1.1601059447061752</v>
      </c>
    </row>
    <row r="471" spans="1:13" x14ac:dyDescent="0.2">
      <c r="A471" t="s">
        <v>353</v>
      </c>
      <c r="B471" t="s">
        <v>24</v>
      </c>
      <c r="C471" t="s">
        <v>25</v>
      </c>
      <c r="D471">
        <v>-0.10322764299999999</v>
      </c>
      <c r="E471" s="7">
        <f>ABS(D471)</f>
        <v>0.10322764299999999</v>
      </c>
      <c r="F471">
        <v>0.24829583899999999</v>
      </c>
      <c r="G471">
        <v>146</v>
      </c>
      <c r="H471">
        <v>41</v>
      </c>
      <c r="I471">
        <v>0.67822015000000002</v>
      </c>
      <c r="J471">
        <v>0.90274859299999999</v>
      </c>
      <c r="K471">
        <f>IF(C471=C470,K470+1,1)</f>
        <v>1</v>
      </c>
      <c r="L471">
        <f>MIN(((374/K471)*I471),L472)</f>
        <v>14.457924240222223</v>
      </c>
      <c r="M471">
        <f>-LOG10(L471)</f>
        <v>-1.1601059447061752</v>
      </c>
    </row>
    <row r="472" spans="1:13" x14ac:dyDescent="0.2">
      <c r="A472" t="s">
        <v>333</v>
      </c>
      <c r="B472" t="s">
        <v>24</v>
      </c>
      <c r="C472" t="s">
        <v>25</v>
      </c>
      <c r="D472">
        <v>-0.103196872</v>
      </c>
      <c r="E472" s="7">
        <f>ABS(D472)</f>
        <v>0.103196872</v>
      </c>
      <c r="F472">
        <v>0.16204864699999999</v>
      </c>
      <c r="G472">
        <v>146</v>
      </c>
      <c r="H472">
        <v>15</v>
      </c>
      <c r="I472">
        <v>0.525256002</v>
      </c>
      <c r="J472">
        <v>0.85640127899999996</v>
      </c>
      <c r="K472">
        <f>IF(C472=C471,K471+1,1)</f>
        <v>2</v>
      </c>
      <c r="L472">
        <f>MIN(((374/K472)*I472),L473)</f>
        <v>14.457924240222223</v>
      </c>
      <c r="M472">
        <f>-LOG10(L472)</f>
        <v>-1.1601059447061752</v>
      </c>
    </row>
    <row r="473" spans="1:13" x14ac:dyDescent="0.2">
      <c r="A473" t="s">
        <v>227</v>
      </c>
      <c r="B473" t="s">
        <v>24</v>
      </c>
      <c r="C473" t="s">
        <v>25</v>
      </c>
      <c r="D473">
        <v>0.103040971</v>
      </c>
      <c r="E473" s="7">
        <f>ABS(D473)</f>
        <v>0.103040971</v>
      </c>
      <c r="F473">
        <v>0.197219439</v>
      </c>
      <c r="G473">
        <v>146</v>
      </c>
      <c r="H473">
        <v>51</v>
      </c>
      <c r="I473">
        <v>0.60215255199999995</v>
      </c>
      <c r="J473">
        <v>0.868914827</v>
      </c>
      <c r="K473">
        <f>IF(C473=C472,K472+1,1)</f>
        <v>3</v>
      </c>
      <c r="L473">
        <f>MIN(((374/K473)*I473),L474)</f>
        <v>14.457924240222223</v>
      </c>
      <c r="M473">
        <f>-LOG10(L473)</f>
        <v>-1.1601059447061752</v>
      </c>
    </row>
    <row r="474" spans="1:13" x14ac:dyDescent="0.2">
      <c r="A474" t="s">
        <v>237</v>
      </c>
      <c r="B474" t="s">
        <v>10</v>
      </c>
      <c r="C474" t="s">
        <v>11</v>
      </c>
      <c r="D474">
        <v>0.102251587</v>
      </c>
      <c r="E474" s="7">
        <f>ABS(D474)</f>
        <v>0.102251587</v>
      </c>
      <c r="F474">
        <v>0.229810925</v>
      </c>
      <c r="G474">
        <v>146</v>
      </c>
      <c r="H474">
        <v>42</v>
      </c>
      <c r="I474">
        <v>0.65703738599999995</v>
      </c>
      <c r="J474">
        <v>0.89960398799999997</v>
      </c>
      <c r="K474">
        <f>IF(C474=C473,K473+1,1)</f>
        <v>1</v>
      </c>
      <c r="L474">
        <f>MIN(((374/K474)*I474),L475)</f>
        <v>14.457924240222223</v>
      </c>
      <c r="M474">
        <f>-LOG10(L474)</f>
        <v>-1.1601059447061752</v>
      </c>
    </row>
    <row r="475" spans="1:13" x14ac:dyDescent="0.2">
      <c r="A475" t="s">
        <v>137</v>
      </c>
      <c r="B475" t="s">
        <v>10</v>
      </c>
      <c r="C475" t="s">
        <v>11</v>
      </c>
      <c r="D475">
        <v>0.102015129</v>
      </c>
      <c r="E475" s="7">
        <f>ABS(D475)</f>
        <v>0.102015129</v>
      </c>
      <c r="F475">
        <v>0.12659955000000001</v>
      </c>
      <c r="G475">
        <v>146</v>
      </c>
      <c r="H475">
        <v>18</v>
      </c>
      <c r="I475">
        <v>0.42169060600000002</v>
      </c>
      <c r="J475">
        <v>0.83445654400000002</v>
      </c>
      <c r="K475">
        <f>IF(C475=C474,K474+1,1)</f>
        <v>2</v>
      </c>
      <c r="L475">
        <f>MIN(((374/K475)*I475),L476)</f>
        <v>14.457924240222223</v>
      </c>
      <c r="M475">
        <f>-LOG10(L475)</f>
        <v>-1.1601059447061752</v>
      </c>
    </row>
    <row r="476" spans="1:13" x14ac:dyDescent="0.2">
      <c r="A476" t="s">
        <v>16</v>
      </c>
      <c r="B476" t="s">
        <v>24</v>
      </c>
      <c r="C476" t="s">
        <v>25</v>
      </c>
      <c r="D476">
        <v>-0.101689476</v>
      </c>
      <c r="E476" s="7">
        <f>ABS(D476)</f>
        <v>0.101689476</v>
      </c>
      <c r="F476">
        <v>8.7250863999999997E-2</v>
      </c>
      <c r="G476">
        <v>146</v>
      </c>
      <c r="H476">
        <v>21</v>
      </c>
      <c r="I476">
        <v>0.24576353300000001</v>
      </c>
      <c r="J476">
        <v>0.716456647</v>
      </c>
      <c r="K476">
        <f>IF(C476=C475,K475+1,1)</f>
        <v>1</v>
      </c>
      <c r="L476">
        <f>MIN(((374/K476)*I476),L477)</f>
        <v>14.457924240222223</v>
      </c>
      <c r="M476">
        <f>-LOG10(L476)</f>
        <v>-1.1601059447061752</v>
      </c>
    </row>
    <row r="477" spans="1:13" x14ac:dyDescent="0.2">
      <c r="A477" t="s">
        <v>178</v>
      </c>
      <c r="B477" t="s">
        <v>10</v>
      </c>
      <c r="C477" t="s">
        <v>11</v>
      </c>
      <c r="D477">
        <v>9.9942075000000005E-2</v>
      </c>
      <c r="E477" s="7">
        <f>ABS(D477)</f>
        <v>9.9942075000000005E-2</v>
      </c>
      <c r="F477">
        <v>0.131591133</v>
      </c>
      <c r="G477">
        <v>146</v>
      </c>
      <c r="H477">
        <v>23</v>
      </c>
      <c r="I477">
        <v>0.448810025</v>
      </c>
      <c r="J477">
        <v>0.84421080100000001</v>
      </c>
      <c r="K477">
        <f>IF(C477=C476,K476+1,1)</f>
        <v>1</v>
      </c>
      <c r="L477">
        <f>MIN(((374/K477)*I477),L478)</f>
        <v>14.457924240222223</v>
      </c>
      <c r="M477">
        <f>-LOG10(L477)</f>
        <v>-1.1601059447061752</v>
      </c>
    </row>
    <row r="478" spans="1:13" x14ac:dyDescent="0.2">
      <c r="A478" t="s">
        <v>183</v>
      </c>
      <c r="B478" t="s">
        <v>24</v>
      </c>
      <c r="C478" t="s">
        <v>25</v>
      </c>
      <c r="D478">
        <v>-9.9888108000000003E-2</v>
      </c>
      <c r="E478" s="7">
        <f>ABS(D478)</f>
        <v>9.9888108000000003E-2</v>
      </c>
      <c r="F478">
        <v>0.12129427299999999</v>
      </c>
      <c r="G478">
        <v>146</v>
      </c>
      <c r="H478">
        <v>21</v>
      </c>
      <c r="I478">
        <v>0.411584371</v>
      </c>
      <c r="J478">
        <v>0.83227865999999995</v>
      </c>
      <c r="K478">
        <f>IF(C478=C477,K477+1,1)</f>
        <v>1</v>
      </c>
      <c r="L478">
        <f>MIN(((374/K478)*I478),L479)</f>
        <v>14.457924240222223</v>
      </c>
      <c r="M478">
        <f>-LOG10(L478)</f>
        <v>-1.1601059447061752</v>
      </c>
    </row>
    <row r="479" spans="1:13" x14ac:dyDescent="0.2">
      <c r="A479" t="s">
        <v>179</v>
      </c>
      <c r="B479" t="s">
        <v>10</v>
      </c>
      <c r="C479" t="s">
        <v>11</v>
      </c>
      <c r="D479">
        <v>-9.9744090999999993E-2</v>
      </c>
      <c r="E479" s="7">
        <f>ABS(D479)</f>
        <v>9.9744090999999993E-2</v>
      </c>
      <c r="F479">
        <v>0.21987314999999999</v>
      </c>
      <c r="G479">
        <v>146</v>
      </c>
      <c r="H479">
        <v>49</v>
      </c>
      <c r="I479">
        <v>0.65077291100000001</v>
      </c>
      <c r="J479">
        <v>0.89960398799999997</v>
      </c>
      <c r="K479">
        <f>IF(C479=C478,K478+1,1)</f>
        <v>1</v>
      </c>
      <c r="L479">
        <f>MIN(((374/K479)*I479),L480)</f>
        <v>14.457924240222223</v>
      </c>
      <c r="M479">
        <f>-LOG10(L479)</f>
        <v>-1.1601059447061752</v>
      </c>
    </row>
    <row r="480" spans="1:13" x14ac:dyDescent="0.2">
      <c r="A480" t="s">
        <v>262</v>
      </c>
      <c r="B480" t="s">
        <v>10</v>
      </c>
      <c r="C480" t="s">
        <v>11</v>
      </c>
      <c r="D480">
        <v>9.9400092999999995E-2</v>
      </c>
      <c r="E480" s="7">
        <f>ABS(D480)</f>
        <v>9.9400092999999995E-2</v>
      </c>
      <c r="F480">
        <v>0.13498433900000001</v>
      </c>
      <c r="G480">
        <v>146</v>
      </c>
      <c r="H480">
        <v>19</v>
      </c>
      <c r="I480">
        <v>0.46270430200000001</v>
      </c>
      <c r="J480">
        <v>0.84421080100000001</v>
      </c>
      <c r="K480">
        <f>IF(C480=C479,K479+1,1)</f>
        <v>2</v>
      </c>
      <c r="L480">
        <f>MIN(((374/K480)*I480),L481)</f>
        <v>14.457924240222223</v>
      </c>
      <c r="M480">
        <f>-LOG10(L480)</f>
        <v>-1.1601059447061752</v>
      </c>
    </row>
    <row r="481" spans="1:13" x14ac:dyDescent="0.2">
      <c r="A481" t="s">
        <v>301</v>
      </c>
      <c r="B481" t="s">
        <v>10</v>
      </c>
      <c r="C481" t="s">
        <v>11</v>
      </c>
      <c r="D481">
        <v>-9.9256264999999996E-2</v>
      </c>
      <c r="E481" s="7">
        <f>ABS(D481)</f>
        <v>9.9256264999999996E-2</v>
      </c>
      <c r="F481">
        <v>0.135825162</v>
      </c>
      <c r="G481">
        <v>146</v>
      </c>
      <c r="H481">
        <v>23</v>
      </c>
      <c r="I481">
        <v>0.466118374</v>
      </c>
      <c r="J481">
        <v>0.84421080100000001</v>
      </c>
      <c r="K481">
        <f>IF(C481=C480,K480+1,1)</f>
        <v>3</v>
      </c>
      <c r="L481">
        <f>MIN(((374/K481)*I481),L482)</f>
        <v>14.457924240222223</v>
      </c>
      <c r="M481">
        <f>-LOG10(L481)</f>
        <v>-1.1601059447061752</v>
      </c>
    </row>
    <row r="482" spans="1:13" x14ac:dyDescent="0.2">
      <c r="A482" t="s">
        <v>248</v>
      </c>
      <c r="B482" t="s">
        <v>10</v>
      </c>
      <c r="C482" t="s">
        <v>11</v>
      </c>
      <c r="D482">
        <v>-9.9244021000000002E-2</v>
      </c>
      <c r="E482" s="7">
        <f>ABS(D482)</f>
        <v>9.9244021000000002E-2</v>
      </c>
      <c r="F482">
        <v>0.13216071800000001</v>
      </c>
      <c r="G482">
        <v>146</v>
      </c>
      <c r="H482">
        <v>19</v>
      </c>
      <c r="I482">
        <v>0.45392611900000002</v>
      </c>
      <c r="J482">
        <v>0.84421080100000001</v>
      </c>
      <c r="K482">
        <f>IF(C482=C481,K481+1,1)</f>
        <v>4</v>
      </c>
      <c r="L482">
        <f>MIN(((374/K482)*I482),L483)</f>
        <v>14.457924240222223</v>
      </c>
      <c r="M482">
        <f>-LOG10(L482)</f>
        <v>-1.1601059447061752</v>
      </c>
    </row>
    <row r="483" spans="1:13" x14ac:dyDescent="0.2">
      <c r="A483" t="s">
        <v>253</v>
      </c>
      <c r="B483" t="s">
        <v>24</v>
      </c>
      <c r="C483" t="s">
        <v>25</v>
      </c>
      <c r="D483">
        <v>-9.8636102000000003E-2</v>
      </c>
      <c r="E483" s="7">
        <f>ABS(D483)</f>
        <v>9.8636102000000003E-2</v>
      </c>
      <c r="F483">
        <v>0.15387972</v>
      </c>
      <c r="G483">
        <v>146</v>
      </c>
      <c r="H483">
        <v>42</v>
      </c>
      <c r="I483">
        <v>0.52255200000000002</v>
      </c>
      <c r="J483">
        <v>0.85640127899999996</v>
      </c>
      <c r="K483">
        <f>IF(C483=C482,K482+1,1)</f>
        <v>1</v>
      </c>
      <c r="L483">
        <f>MIN(((374/K483)*I483),L484)</f>
        <v>14.457924240222223</v>
      </c>
      <c r="M483">
        <f>-LOG10(L483)</f>
        <v>-1.1601059447061752</v>
      </c>
    </row>
    <row r="484" spans="1:13" x14ac:dyDescent="0.2">
      <c r="A484" t="s">
        <v>335</v>
      </c>
      <c r="B484" t="s">
        <v>24</v>
      </c>
      <c r="C484" t="s">
        <v>25</v>
      </c>
      <c r="D484">
        <v>9.8370086999999995E-2</v>
      </c>
      <c r="E484" s="7">
        <f>ABS(D484)</f>
        <v>9.8370086999999995E-2</v>
      </c>
      <c r="F484">
        <v>0.18853236500000001</v>
      </c>
      <c r="G484">
        <v>146</v>
      </c>
      <c r="H484">
        <v>23</v>
      </c>
      <c r="I484">
        <v>0.60263934299999999</v>
      </c>
      <c r="J484">
        <v>0.868914827</v>
      </c>
      <c r="K484">
        <f>IF(C484=C483,K483+1,1)</f>
        <v>2</v>
      </c>
      <c r="L484">
        <f>MIN(((374/K484)*I484),L485)</f>
        <v>14.457924240222223</v>
      </c>
      <c r="M484">
        <f>-LOG10(L484)</f>
        <v>-1.1601059447061752</v>
      </c>
    </row>
    <row r="485" spans="1:13" x14ac:dyDescent="0.2">
      <c r="A485" t="s">
        <v>277</v>
      </c>
      <c r="B485" t="s">
        <v>24</v>
      </c>
      <c r="C485" t="s">
        <v>25</v>
      </c>
      <c r="D485">
        <v>-9.7912944000000002E-2</v>
      </c>
      <c r="E485" s="7">
        <f>ABS(D485)</f>
        <v>9.7912944000000002E-2</v>
      </c>
      <c r="F485">
        <v>0.109907238</v>
      </c>
      <c r="G485">
        <v>146</v>
      </c>
      <c r="H485">
        <v>18</v>
      </c>
      <c r="I485">
        <v>0.37449592399999998</v>
      </c>
      <c r="J485">
        <v>0.79251592199999998</v>
      </c>
      <c r="K485">
        <f>IF(C485=C484,K484+1,1)</f>
        <v>3</v>
      </c>
      <c r="L485">
        <f>MIN(((374/K485)*I485),L486)</f>
        <v>14.457924240222223</v>
      </c>
      <c r="M485">
        <f>-LOG10(L485)</f>
        <v>-1.1601059447061752</v>
      </c>
    </row>
    <row r="486" spans="1:13" x14ac:dyDescent="0.2">
      <c r="A486" t="s">
        <v>267</v>
      </c>
      <c r="B486" t="s">
        <v>10</v>
      </c>
      <c r="C486" t="s">
        <v>11</v>
      </c>
      <c r="D486">
        <v>9.7625453000000001E-2</v>
      </c>
      <c r="E486" s="7">
        <f>ABS(D486)</f>
        <v>9.7625453000000001E-2</v>
      </c>
      <c r="F486">
        <v>0.102231213</v>
      </c>
      <c r="G486">
        <v>146</v>
      </c>
      <c r="H486">
        <v>17</v>
      </c>
      <c r="I486">
        <v>0.34121571099999998</v>
      </c>
      <c r="J486">
        <v>0.77889163400000005</v>
      </c>
      <c r="K486">
        <f>IF(C486=C485,K485+1,1)</f>
        <v>1</v>
      </c>
      <c r="L486">
        <f>MIN(((374/K486)*I486),L487)</f>
        <v>14.457924240222223</v>
      </c>
      <c r="M486">
        <f>-LOG10(L486)</f>
        <v>-1.1601059447061752</v>
      </c>
    </row>
    <row r="487" spans="1:13" x14ac:dyDescent="0.2">
      <c r="A487" t="s">
        <v>344</v>
      </c>
      <c r="B487" t="s">
        <v>10</v>
      </c>
      <c r="C487" t="s">
        <v>11</v>
      </c>
      <c r="D487">
        <v>-9.6699908000000001E-2</v>
      </c>
      <c r="E487" s="7">
        <f>ABS(D487)</f>
        <v>9.6699908000000001E-2</v>
      </c>
      <c r="F487">
        <v>0.27772578199999998</v>
      </c>
      <c r="G487">
        <v>146</v>
      </c>
      <c r="H487">
        <v>66</v>
      </c>
      <c r="I487">
        <v>0.72821340800000001</v>
      </c>
      <c r="J487">
        <v>0.92010748200000003</v>
      </c>
      <c r="K487">
        <f>IF(C487=C486,K486+1,1)</f>
        <v>2</v>
      </c>
      <c r="L487">
        <f>MIN(((374/K487)*I487),L488)</f>
        <v>14.457924240222223</v>
      </c>
      <c r="M487">
        <f>-LOG10(L487)</f>
        <v>-1.1601059447061752</v>
      </c>
    </row>
    <row r="488" spans="1:13" x14ac:dyDescent="0.2">
      <c r="A488" t="s">
        <v>123</v>
      </c>
      <c r="B488" t="s">
        <v>10</v>
      </c>
      <c r="C488" t="s">
        <v>11</v>
      </c>
      <c r="D488">
        <v>9.4942855000000007E-2</v>
      </c>
      <c r="E488" s="7">
        <f>ABS(D488)</f>
        <v>9.4942855000000007E-2</v>
      </c>
      <c r="F488">
        <v>0.179543747</v>
      </c>
      <c r="G488">
        <v>146</v>
      </c>
      <c r="H488">
        <v>17</v>
      </c>
      <c r="I488">
        <v>0.59776353900000001</v>
      </c>
      <c r="J488">
        <v>0.868914827</v>
      </c>
      <c r="K488">
        <f>IF(C488=C487,K487+1,1)</f>
        <v>3</v>
      </c>
      <c r="L488">
        <f>MIN(((374/K488)*I488),L489)</f>
        <v>14.457924240222223</v>
      </c>
      <c r="M488">
        <f>-LOG10(L488)</f>
        <v>-1.1601059447061752</v>
      </c>
    </row>
    <row r="489" spans="1:13" x14ac:dyDescent="0.2">
      <c r="A489" t="s">
        <v>228</v>
      </c>
      <c r="B489" t="s">
        <v>10</v>
      </c>
      <c r="C489" t="s">
        <v>11</v>
      </c>
      <c r="D489">
        <v>-9.4539704000000002E-2</v>
      </c>
      <c r="E489" s="7">
        <f>ABS(D489)</f>
        <v>9.4539704000000002E-2</v>
      </c>
      <c r="F489">
        <v>0.12142805499999999</v>
      </c>
      <c r="G489">
        <v>146</v>
      </c>
      <c r="H489">
        <v>19</v>
      </c>
      <c r="I489">
        <v>0.43752205700000002</v>
      </c>
      <c r="J489">
        <v>0.84113567899999997</v>
      </c>
      <c r="K489">
        <f>IF(C489=C488,K488+1,1)</f>
        <v>4</v>
      </c>
      <c r="L489">
        <f>MIN(((374/K489)*I489),L490)</f>
        <v>14.457924240222223</v>
      </c>
      <c r="M489">
        <f>-LOG10(L489)</f>
        <v>-1.1601059447061752</v>
      </c>
    </row>
    <row r="490" spans="1:13" x14ac:dyDescent="0.2">
      <c r="A490" t="s">
        <v>324</v>
      </c>
      <c r="B490" t="s">
        <v>10</v>
      </c>
      <c r="C490" t="s">
        <v>11</v>
      </c>
      <c r="D490">
        <v>9.3253454999999999E-2</v>
      </c>
      <c r="E490" s="7">
        <f>ABS(D490)</f>
        <v>9.3253454999999999E-2</v>
      </c>
      <c r="F490">
        <v>0.14944434600000001</v>
      </c>
      <c r="G490">
        <v>146</v>
      </c>
      <c r="H490">
        <v>18</v>
      </c>
      <c r="I490">
        <v>0.53362095600000004</v>
      </c>
      <c r="J490">
        <v>0.85640127899999996</v>
      </c>
      <c r="K490">
        <f>IF(C490=C489,K489+1,1)</f>
        <v>5</v>
      </c>
      <c r="L490">
        <f>MIN(((374/K490)*I490),L491)</f>
        <v>14.457924240222223</v>
      </c>
      <c r="M490">
        <f>-LOG10(L490)</f>
        <v>-1.1601059447061752</v>
      </c>
    </row>
    <row r="491" spans="1:13" x14ac:dyDescent="0.2">
      <c r="A491" t="s">
        <v>270</v>
      </c>
      <c r="B491" t="s">
        <v>10</v>
      </c>
      <c r="C491" t="s">
        <v>11</v>
      </c>
      <c r="D491">
        <v>-9.3217163000000006E-2</v>
      </c>
      <c r="E491" s="7">
        <f>ABS(D491)</f>
        <v>9.3217163000000006E-2</v>
      </c>
      <c r="F491">
        <v>0.121608879</v>
      </c>
      <c r="G491">
        <v>146</v>
      </c>
      <c r="H491">
        <v>27</v>
      </c>
      <c r="I491">
        <v>0.44462306699999998</v>
      </c>
      <c r="J491">
        <v>0.84421080100000001</v>
      </c>
      <c r="K491">
        <f>IF(C491=C490,K490+1,1)</f>
        <v>6</v>
      </c>
      <c r="L491">
        <f>MIN(((374/K491)*I491),L492)</f>
        <v>14.457924240222223</v>
      </c>
      <c r="M491">
        <f>-LOG10(L491)</f>
        <v>-1.1601059447061752</v>
      </c>
    </row>
    <row r="492" spans="1:13" x14ac:dyDescent="0.2">
      <c r="A492" t="s">
        <v>306</v>
      </c>
      <c r="B492" t="s">
        <v>10</v>
      </c>
      <c r="C492" t="s">
        <v>11</v>
      </c>
      <c r="D492">
        <v>9.2962838000000006E-2</v>
      </c>
      <c r="E492" s="7">
        <f>ABS(D492)</f>
        <v>9.2962838000000006E-2</v>
      </c>
      <c r="F492">
        <v>0.12744045700000001</v>
      </c>
      <c r="G492">
        <v>146</v>
      </c>
      <c r="H492">
        <v>19</v>
      </c>
      <c r="I492">
        <v>0.46691288800000003</v>
      </c>
      <c r="J492">
        <v>0.84421080100000001</v>
      </c>
      <c r="K492">
        <f>IF(C492=C491,K491+1,1)</f>
        <v>7</v>
      </c>
      <c r="L492">
        <f>MIN(((374/K492)*I492),L493)</f>
        <v>14.457924240222223</v>
      </c>
      <c r="M492">
        <f>-LOG10(L492)</f>
        <v>-1.1601059447061752</v>
      </c>
    </row>
    <row r="493" spans="1:13" x14ac:dyDescent="0.2">
      <c r="A493" t="s">
        <v>280</v>
      </c>
      <c r="B493" t="s">
        <v>10</v>
      </c>
      <c r="C493" t="s">
        <v>11</v>
      </c>
      <c r="D493">
        <v>9.2637076999999998E-2</v>
      </c>
      <c r="E493" s="7">
        <f>ABS(D493)</f>
        <v>9.2637076999999998E-2</v>
      </c>
      <c r="F493">
        <v>0.106764501</v>
      </c>
      <c r="G493">
        <v>146</v>
      </c>
      <c r="H493">
        <v>15</v>
      </c>
      <c r="I493">
        <v>0.38702503900000002</v>
      </c>
      <c r="J493">
        <v>0.81090960599999995</v>
      </c>
      <c r="K493">
        <f>IF(C493=C492,K492+1,1)</f>
        <v>8</v>
      </c>
      <c r="L493">
        <f>MIN(((374/K493)*I493),L494)</f>
        <v>14.457924240222223</v>
      </c>
      <c r="M493">
        <f>-LOG10(L493)</f>
        <v>-1.1601059447061752</v>
      </c>
    </row>
    <row r="494" spans="1:13" x14ac:dyDescent="0.2">
      <c r="A494" t="s">
        <v>303</v>
      </c>
      <c r="B494" t="s">
        <v>10</v>
      </c>
      <c r="C494" t="s">
        <v>11</v>
      </c>
      <c r="D494">
        <v>-9.2438640000000002E-2</v>
      </c>
      <c r="E494" s="7">
        <f>ABS(D494)</f>
        <v>9.2438640000000002E-2</v>
      </c>
      <c r="F494">
        <v>0.12437709800000001</v>
      </c>
      <c r="G494">
        <v>146</v>
      </c>
      <c r="H494">
        <v>21</v>
      </c>
      <c r="I494">
        <v>0.45857218500000002</v>
      </c>
      <c r="J494">
        <v>0.84421080100000001</v>
      </c>
      <c r="K494">
        <f>IF(C494=C493,K493+1,1)</f>
        <v>9</v>
      </c>
      <c r="L494">
        <f>MIN(((374/K494)*I494),L495)</f>
        <v>14.457924240222223</v>
      </c>
      <c r="M494">
        <f>-LOG10(L494)</f>
        <v>-1.1601059447061752</v>
      </c>
    </row>
    <row r="495" spans="1:13" x14ac:dyDescent="0.2">
      <c r="A495" t="s">
        <v>312</v>
      </c>
      <c r="B495" t="s">
        <v>24</v>
      </c>
      <c r="C495" t="s">
        <v>25</v>
      </c>
      <c r="D495">
        <v>9.2210568000000007E-2</v>
      </c>
      <c r="E495" s="7">
        <f>ABS(D495)</f>
        <v>9.2210568000000007E-2</v>
      </c>
      <c r="F495">
        <v>0.17401576099999999</v>
      </c>
      <c r="G495">
        <v>146</v>
      </c>
      <c r="H495">
        <v>38</v>
      </c>
      <c r="I495">
        <v>0.59700457600000001</v>
      </c>
      <c r="J495">
        <v>0.868914827</v>
      </c>
      <c r="K495">
        <f>IF(C495=C494,K494+1,1)</f>
        <v>1</v>
      </c>
      <c r="L495">
        <f>MIN(((374/K495)*I495),L496)</f>
        <v>14.457924240222223</v>
      </c>
      <c r="M495">
        <f>-LOG10(L495)</f>
        <v>-1.1601059447061752</v>
      </c>
    </row>
    <row r="496" spans="1:13" x14ac:dyDescent="0.2">
      <c r="A496" t="s">
        <v>159</v>
      </c>
      <c r="B496" t="s">
        <v>24</v>
      </c>
      <c r="C496" t="s">
        <v>25</v>
      </c>
      <c r="D496">
        <v>9.1878044000000006E-2</v>
      </c>
      <c r="E496" s="7">
        <f>ABS(D496)</f>
        <v>9.1878044000000006E-2</v>
      </c>
      <c r="F496">
        <v>0.127720324</v>
      </c>
      <c r="G496">
        <v>146</v>
      </c>
      <c r="H496">
        <v>30</v>
      </c>
      <c r="I496">
        <v>0.47308756200000002</v>
      </c>
      <c r="J496">
        <v>0.84421080100000001</v>
      </c>
      <c r="K496">
        <f>IF(C496=C495,K495+1,1)</f>
        <v>2</v>
      </c>
      <c r="L496">
        <f>MIN(((374/K496)*I496),L497)</f>
        <v>14.457924240222223</v>
      </c>
      <c r="M496">
        <f>-LOG10(L496)</f>
        <v>-1.1601059447061752</v>
      </c>
    </row>
    <row r="497" spans="1:13" x14ac:dyDescent="0.2">
      <c r="A497" t="s">
        <v>203</v>
      </c>
      <c r="B497" t="s">
        <v>24</v>
      </c>
      <c r="C497" t="s">
        <v>25</v>
      </c>
      <c r="D497">
        <v>9.1618015999999997E-2</v>
      </c>
      <c r="E497" s="7">
        <f>ABS(D497)</f>
        <v>9.1618015999999997E-2</v>
      </c>
      <c r="F497">
        <v>9.7051104999999999E-2</v>
      </c>
      <c r="G497">
        <v>146</v>
      </c>
      <c r="H497">
        <v>15</v>
      </c>
      <c r="I497">
        <v>0.34675255900000002</v>
      </c>
      <c r="J497">
        <v>0.77889163400000005</v>
      </c>
      <c r="K497">
        <f>IF(C497=C496,K496+1,1)</f>
        <v>3</v>
      </c>
      <c r="L497">
        <f>MIN(((374/K497)*I497),L498)</f>
        <v>14.457924240222223</v>
      </c>
      <c r="M497">
        <f>-LOG10(L497)</f>
        <v>-1.1601059447061752</v>
      </c>
    </row>
    <row r="498" spans="1:13" x14ac:dyDescent="0.2">
      <c r="A498" t="s">
        <v>93</v>
      </c>
      <c r="B498" t="s">
        <v>24</v>
      </c>
      <c r="C498" t="s">
        <v>25</v>
      </c>
      <c r="D498">
        <v>-9.1384283999999996E-2</v>
      </c>
      <c r="E498" s="7">
        <f>ABS(D498)</f>
        <v>9.1384283999999996E-2</v>
      </c>
      <c r="F498">
        <v>0.26908405000000002</v>
      </c>
      <c r="G498">
        <v>146</v>
      </c>
      <c r="H498">
        <v>88</v>
      </c>
      <c r="I498">
        <v>0.73464670300000001</v>
      </c>
      <c r="J498">
        <v>0.92511066399999997</v>
      </c>
      <c r="K498">
        <f>IF(C498=C497,K497+1,1)</f>
        <v>4</v>
      </c>
      <c r="L498">
        <f>MIN(((374/K498)*I498),L499)</f>
        <v>14.457924240222223</v>
      </c>
      <c r="M498">
        <f>-LOG10(L498)</f>
        <v>-1.1601059447061752</v>
      </c>
    </row>
    <row r="499" spans="1:13" x14ac:dyDescent="0.2">
      <c r="A499" t="s">
        <v>340</v>
      </c>
      <c r="B499" t="s">
        <v>24</v>
      </c>
      <c r="C499" t="s">
        <v>25</v>
      </c>
      <c r="D499">
        <v>-9.1324563999999997E-2</v>
      </c>
      <c r="E499" s="7">
        <f>ABS(D499)</f>
        <v>9.1324563999999997E-2</v>
      </c>
      <c r="F499">
        <v>0.217937835</v>
      </c>
      <c r="G499">
        <v>146</v>
      </c>
      <c r="H499">
        <v>37</v>
      </c>
      <c r="I499">
        <v>0.67581601800000002</v>
      </c>
      <c r="J499">
        <v>0.90274859299999999</v>
      </c>
      <c r="K499">
        <f>IF(C499=C498,K498+1,1)</f>
        <v>5</v>
      </c>
      <c r="L499">
        <f>MIN(((374/K499)*I499),L500)</f>
        <v>14.457924240222223</v>
      </c>
      <c r="M499">
        <f>-LOG10(L499)</f>
        <v>-1.1601059447061752</v>
      </c>
    </row>
    <row r="500" spans="1:13" x14ac:dyDescent="0.2">
      <c r="A500" t="s">
        <v>316</v>
      </c>
      <c r="B500" t="s">
        <v>10</v>
      </c>
      <c r="C500" t="s">
        <v>11</v>
      </c>
      <c r="D500">
        <v>9.0392879999999995E-2</v>
      </c>
      <c r="E500" s="7">
        <f>ABS(D500)</f>
        <v>9.0392879999999995E-2</v>
      </c>
      <c r="F500">
        <v>0.21549844000000001</v>
      </c>
      <c r="G500">
        <v>146</v>
      </c>
      <c r="H500">
        <v>27</v>
      </c>
      <c r="I500">
        <v>0.67550977499999998</v>
      </c>
      <c r="J500">
        <v>0.90274859299999999</v>
      </c>
      <c r="K500">
        <f>IF(C500=C499,K499+1,1)</f>
        <v>1</v>
      </c>
      <c r="L500">
        <f>MIN(((374/K500)*I500),L501)</f>
        <v>14.457924240222223</v>
      </c>
      <c r="M500">
        <f>-LOG10(L500)</f>
        <v>-1.1601059447061752</v>
      </c>
    </row>
    <row r="501" spans="1:13" x14ac:dyDescent="0.2">
      <c r="A501" t="s">
        <v>139</v>
      </c>
      <c r="B501" t="s">
        <v>24</v>
      </c>
      <c r="C501" t="s">
        <v>25</v>
      </c>
      <c r="D501">
        <v>-9.0383628999999993E-2</v>
      </c>
      <c r="E501" s="7">
        <f>ABS(D501)</f>
        <v>9.0383628999999993E-2</v>
      </c>
      <c r="F501">
        <v>0.21805464899999999</v>
      </c>
      <c r="G501">
        <v>146</v>
      </c>
      <c r="H501">
        <v>79</v>
      </c>
      <c r="I501">
        <v>0.67912916499999998</v>
      </c>
      <c r="J501">
        <v>0.90274859299999999</v>
      </c>
      <c r="K501">
        <f>IF(C501=C500,K500+1,1)</f>
        <v>1</v>
      </c>
      <c r="L501">
        <f>MIN(((374/K501)*I501),L502)</f>
        <v>14.457924240222223</v>
      </c>
      <c r="M501">
        <f>-LOG10(L501)</f>
        <v>-1.1601059447061752</v>
      </c>
    </row>
    <row r="502" spans="1:13" x14ac:dyDescent="0.2">
      <c r="A502" t="s">
        <v>211</v>
      </c>
      <c r="B502" t="s">
        <v>24</v>
      </c>
      <c r="C502" t="s">
        <v>25</v>
      </c>
      <c r="D502">
        <v>9.0288384999999999E-2</v>
      </c>
      <c r="E502" s="7">
        <f>ABS(D502)</f>
        <v>9.0288384999999999E-2</v>
      </c>
      <c r="F502">
        <v>9.6233673000000006E-2</v>
      </c>
      <c r="G502">
        <v>146</v>
      </c>
      <c r="H502">
        <v>19</v>
      </c>
      <c r="I502">
        <v>0.34971316499999999</v>
      </c>
      <c r="J502">
        <v>0.78085208100000003</v>
      </c>
      <c r="K502">
        <f>IF(C502=C501,K501+1,1)</f>
        <v>2</v>
      </c>
      <c r="L502">
        <f>MIN(((374/K502)*I502),L503)</f>
        <v>14.457924240222223</v>
      </c>
      <c r="M502">
        <f>-LOG10(L502)</f>
        <v>-1.1601059447061752</v>
      </c>
    </row>
    <row r="503" spans="1:13" x14ac:dyDescent="0.2">
      <c r="A503" t="s">
        <v>337</v>
      </c>
      <c r="B503" t="s">
        <v>24</v>
      </c>
      <c r="C503" t="s">
        <v>25</v>
      </c>
      <c r="D503">
        <v>-8.9839746999999998E-2</v>
      </c>
      <c r="E503" s="7">
        <f>ABS(D503)</f>
        <v>8.9839746999999998E-2</v>
      </c>
      <c r="F503">
        <v>0.150097692</v>
      </c>
      <c r="G503">
        <v>146</v>
      </c>
      <c r="H503">
        <v>40</v>
      </c>
      <c r="I503">
        <v>0.55042535800000003</v>
      </c>
      <c r="J503">
        <v>0.85640127899999996</v>
      </c>
      <c r="K503">
        <f>IF(C503=C502,K502+1,1)</f>
        <v>3</v>
      </c>
      <c r="L503">
        <f>MIN(((374/K503)*I503),L504)</f>
        <v>14.457924240222223</v>
      </c>
      <c r="M503">
        <f>-LOG10(L503)</f>
        <v>-1.1601059447061752</v>
      </c>
    </row>
    <row r="504" spans="1:13" x14ac:dyDescent="0.2">
      <c r="A504" t="s">
        <v>28</v>
      </c>
      <c r="B504" t="s">
        <v>24</v>
      </c>
      <c r="C504" t="s">
        <v>25</v>
      </c>
      <c r="D504">
        <v>8.9754643999999995E-2</v>
      </c>
      <c r="E504" s="7">
        <f>ABS(D504)</f>
        <v>8.9754643999999995E-2</v>
      </c>
      <c r="F504">
        <v>0.26603290099999999</v>
      </c>
      <c r="G504">
        <v>146</v>
      </c>
      <c r="H504">
        <v>132</v>
      </c>
      <c r="I504">
        <v>0.73632385099999997</v>
      </c>
      <c r="J504">
        <v>0.92566426899999998</v>
      </c>
      <c r="K504">
        <f>IF(C504=C503,K503+1,1)</f>
        <v>4</v>
      </c>
      <c r="L504">
        <f>MIN(((374/K504)*I504),L505)</f>
        <v>14.457924240222223</v>
      </c>
      <c r="M504">
        <f>-LOG10(L504)</f>
        <v>-1.1601059447061752</v>
      </c>
    </row>
    <row r="505" spans="1:13" x14ac:dyDescent="0.2">
      <c r="A505" t="s">
        <v>302</v>
      </c>
      <c r="B505" t="s">
        <v>24</v>
      </c>
      <c r="C505" t="s">
        <v>25</v>
      </c>
      <c r="D505">
        <v>-8.9753606999999999E-2</v>
      </c>
      <c r="E505" s="7">
        <f>ABS(D505)</f>
        <v>8.9753606999999999E-2</v>
      </c>
      <c r="F505">
        <v>0.23710300500000001</v>
      </c>
      <c r="G505">
        <v>146</v>
      </c>
      <c r="H505">
        <v>51</v>
      </c>
      <c r="I505">
        <v>0.70558889499999999</v>
      </c>
      <c r="J505">
        <v>0.91358856600000005</v>
      </c>
      <c r="K505">
        <f>IF(C505=C504,K504+1,1)</f>
        <v>5</v>
      </c>
      <c r="L505">
        <f>MIN(((374/K505)*I505),L506)</f>
        <v>14.457924240222223</v>
      </c>
      <c r="M505">
        <f>-LOG10(L505)</f>
        <v>-1.1601059447061752</v>
      </c>
    </row>
    <row r="506" spans="1:13" x14ac:dyDescent="0.2">
      <c r="A506" t="s">
        <v>357</v>
      </c>
      <c r="B506" t="s">
        <v>10</v>
      </c>
      <c r="C506" t="s">
        <v>11</v>
      </c>
      <c r="D506">
        <v>-8.9306945999999998E-2</v>
      </c>
      <c r="E506" s="7">
        <f>ABS(D506)</f>
        <v>8.9306945999999998E-2</v>
      </c>
      <c r="F506">
        <v>0.20405546599999999</v>
      </c>
      <c r="G506">
        <v>146</v>
      </c>
      <c r="H506">
        <v>33</v>
      </c>
      <c r="I506">
        <v>0.66229297499999995</v>
      </c>
      <c r="J506">
        <v>0.90138136199999996</v>
      </c>
      <c r="K506">
        <f>IF(C506=C505,K505+1,1)</f>
        <v>1</v>
      </c>
      <c r="L506">
        <f>MIN(((374/K506)*I506),L507)</f>
        <v>14.457924240222223</v>
      </c>
      <c r="M506">
        <f>-LOG10(L506)</f>
        <v>-1.1601059447061752</v>
      </c>
    </row>
    <row r="507" spans="1:13" x14ac:dyDescent="0.2">
      <c r="A507" t="s">
        <v>311</v>
      </c>
      <c r="B507" t="s">
        <v>24</v>
      </c>
      <c r="C507" t="s">
        <v>25</v>
      </c>
      <c r="D507">
        <v>8.8619623999999994E-2</v>
      </c>
      <c r="E507" s="7">
        <f>ABS(D507)</f>
        <v>8.8619623999999994E-2</v>
      </c>
      <c r="F507">
        <v>0.15229551399999999</v>
      </c>
      <c r="G507">
        <v>146</v>
      </c>
      <c r="H507">
        <v>25</v>
      </c>
      <c r="I507">
        <v>0.56155528600000004</v>
      </c>
      <c r="J507">
        <v>0.85640127899999996</v>
      </c>
      <c r="K507">
        <f>IF(C507=C506,K506+1,1)</f>
        <v>1</v>
      </c>
      <c r="L507">
        <f>MIN(((374/K507)*I507),L508)</f>
        <v>14.457924240222223</v>
      </c>
      <c r="M507">
        <f>-LOG10(L507)</f>
        <v>-1.1601059447061752</v>
      </c>
    </row>
    <row r="508" spans="1:13" x14ac:dyDescent="0.2">
      <c r="A508" t="s">
        <v>320</v>
      </c>
      <c r="B508" t="s">
        <v>10</v>
      </c>
      <c r="C508" t="s">
        <v>11</v>
      </c>
      <c r="D508">
        <v>8.8322586999999994E-2</v>
      </c>
      <c r="E508" s="7">
        <f>ABS(D508)</f>
        <v>8.8322586999999994E-2</v>
      </c>
      <c r="F508">
        <v>0.28398722999999998</v>
      </c>
      <c r="G508">
        <v>146</v>
      </c>
      <c r="H508">
        <v>52</v>
      </c>
      <c r="I508">
        <v>0.75624667000000001</v>
      </c>
      <c r="J508">
        <v>0.92955169699999995</v>
      </c>
      <c r="K508">
        <f>IF(C508=C507,K507+1,1)</f>
        <v>1</v>
      </c>
      <c r="L508">
        <f>MIN(((374/K508)*I508),L509)</f>
        <v>14.457924240222223</v>
      </c>
      <c r="M508">
        <f>-LOG10(L508)</f>
        <v>-1.1601059447061752</v>
      </c>
    </row>
    <row r="509" spans="1:13" x14ac:dyDescent="0.2">
      <c r="A509" t="s">
        <v>78</v>
      </c>
      <c r="B509" t="s">
        <v>24</v>
      </c>
      <c r="C509" t="s">
        <v>25</v>
      </c>
      <c r="D509">
        <v>-8.7913052000000005E-2</v>
      </c>
      <c r="E509" s="7">
        <f>ABS(D509)</f>
        <v>8.7913052000000005E-2</v>
      </c>
      <c r="F509">
        <v>0.172057505</v>
      </c>
      <c r="G509">
        <v>146</v>
      </c>
      <c r="H509">
        <v>34</v>
      </c>
      <c r="I509">
        <v>0.61017291299999998</v>
      </c>
      <c r="J509">
        <v>0.868914827</v>
      </c>
      <c r="K509">
        <f>IF(C509=C508,K508+1,1)</f>
        <v>1</v>
      </c>
      <c r="L509">
        <f>MIN(((374/K509)*I509),L510)</f>
        <v>14.457924240222223</v>
      </c>
      <c r="M509">
        <f>-LOG10(L509)</f>
        <v>-1.1601059447061752</v>
      </c>
    </row>
    <row r="510" spans="1:13" x14ac:dyDescent="0.2">
      <c r="A510" t="s">
        <v>288</v>
      </c>
      <c r="B510" t="s">
        <v>10</v>
      </c>
      <c r="C510" t="s">
        <v>11</v>
      </c>
      <c r="D510">
        <v>8.7607839000000007E-2</v>
      </c>
      <c r="E510" s="7">
        <f>ABS(D510)</f>
        <v>8.7607839000000007E-2</v>
      </c>
      <c r="F510">
        <v>0.16412840300000001</v>
      </c>
      <c r="G510">
        <v>146</v>
      </c>
      <c r="H510">
        <v>26</v>
      </c>
      <c r="I510">
        <v>0.59432511300000002</v>
      </c>
      <c r="J510">
        <v>0.868914827</v>
      </c>
      <c r="K510">
        <f>IF(C510=C509,K509+1,1)</f>
        <v>1</v>
      </c>
      <c r="L510">
        <f>MIN(((374/K510)*I510),L511)</f>
        <v>14.457924240222223</v>
      </c>
      <c r="M510">
        <f>-LOG10(L510)</f>
        <v>-1.1601059447061752</v>
      </c>
    </row>
    <row r="511" spans="1:13" x14ac:dyDescent="0.2">
      <c r="A511" t="s">
        <v>271</v>
      </c>
      <c r="B511" t="s">
        <v>10</v>
      </c>
      <c r="C511" t="s">
        <v>11</v>
      </c>
      <c r="D511">
        <v>-8.7447355000000004E-2</v>
      </c>
      <c r="E511" s="7">
        <f>ABS(D511)</f>
        <v>8.7447355000000004E-2</v>
      </c>
      <c r="F511">
        <v>0.23551808499999999</v>
      </c>
      <c r="G511">
        <v>146</v>
      </c>
      <c r="H511">
        <v>33</v>
      </c>
      <c r="I511">
        <v>0.71096524100000003</v>
      </c>
      <c r="J511">
        <v>0.91358856600000005</v>
      </c>
      <c r="K511">
        <f>IF(C511=C510,K510+1,1)</f>
        <v>2</v>
      </c>
      <c r="L511">
        <f>MIN(((374/K511)*I511),L512)</f>
        <v>14.457924240222223</v>
      </c>
      <c r="M511">
        <f>-LOG10(L511)</f>
        <v>-1.1601059447061752</v>
      </c>
    </row>
    <row r="512" spans="1:13" x14ac:dyDescent="0.2">
      <c r="A512" t="s">
        <v>310</v>
      </c>
      <c r="B512" t="s">
        <v>24</v>
      </c>
      <c r="C512" t="s">
        <v>25</v>
      </c>
      <c r="D512">
        <v>8.7352386000000004E-2</v>
      </c>
      <c r="E512" s="7">
        <f>ABS(D512)</f>
        <v>8.7352386000000004E-2</v>
      </c>
      <c r="F512">
        <v>0.11823183700000001</v>
      </c>
      <c r="G512">
        <v>146</v>
      </c>
      <c r="H512">
        <v>17</v>
      </c>
      <c r="I512">
        <v>0.46122549000000002</v>
      </c>
      <c r="J512">
        <v>0.84421080100000001</v>
      </c>
      <c r="K512">
        <f>IF(C512=C511,K511+1,1)</f>
        <v>1</v>
      </c>
      <c r="L512">
        <f>MIN(((374/K512)*I512),L513)</f>
        <v>14.457924240222223</v>
      </c>
      <c r="M512">
        <f>-LOG10(L512)</f>
        <v>-1.1601059447061752</v>
      </c>
    </row>
    <row r="513" spans="1:13" x14ac:dyDescent="0.2">
      <c r="A513" t="s">
        <v>314</v>
      </c>
      <c r="B513" t="s">
        <v>24</v>
      </c>
      <c r="C513" t="s">
        <v>25</v>
      </c>
      <c r="D513">
        <v>-8.7168252000000002E-2</v>
      </c>
      <c r="E513" s="7">
        <f>ABS(D513)</f>
        <v>8.7168252000000002E-2</v>
      </c>
      <c r="F513">
        <v>0.201991543</v>
      </c>
      <c r="G513">
        <v>146</v>
      </c>
      <c r="H513">
        <v>113</v>
      </c>
      <c r="I513">
        <v>0.66672272499999996</v>
      </c>
      <c r="J513">
        <v>0.90274859299999999</v>
      </c>
      <c r="K513">
        <f>IF(C513=C512,K512+1,1)</f>
        <v>2</v>
      </c>
      <c r="L513">
        <f>MIN(((374/K513)*I513),L514)</f>
        <v>14.457924240222223</v>
      </c>
      <c r="M513">
        <f>-LOG10(L513)</f>
        <v>-1.1601059447061752</v>
      </c>
    </row>
    <row r="514" spans="1:13" x14ac:dyDescent="0.2">
      <c r="A514" t="s">
        <v>284</v>
      </c>
      <c r="B514" t="s">
        <v>24</v>
      </c>
      <c r="C514" t="s">
        <v>25</v>
      </c>
      <c r="D514">
        <v>-8.6497860999999995E-2</v>
      </c>
      <c r="E514" s="7">
        <f>ABS(D514)</f>
        <v>8.6497860999999995E-2</v>
      </c>
      <c r="F514">
        <v>0.14177999799999999</v>
      </c>
      <c r="G514">
        <v>146</v>
      </c>
      <c r="H514">
        <v>23</v>
      </c>
      <c r="I514">
        <v>0.54277374099999998</v>
      </c>
      <c r="J514">
        <v>0.85640127899999996</v>
      </c>
      <c r="K514">
        <f>IF(C514=C513,K513+1,1)</f>
        <v>3</v>
      </c>
      <c r="L514">
        <f>MIN(((374/K514)*I514),L515)</f>
        <v>14.457924240222223</v>
      </c>
      <c r="M514">
        <f>-LOG10(L514)</f>
        <v>-1.1601059447061752</v>
      </c>
    </row>
    <row r="515" spans="1:13" x14ac:dyDescent="0.2">
      <c r="A515" t="s">
        <v>318</v>
      </c>
      <c r="B515" t="s">
        <v>24</v>
      </c>
      <c r="C515" t="s">
        <v>25</v>
      </c>
      <c r="D515">
        <v>-8.6209937E-2</v>
      </c>
      <c r="E515" s="7">
        <f>ABS(D515)</f>
        <v>8.6209937E-2</v>
      </c>
      <c r="F515">
        <v>0.127541345</v>
      </c>
      <c r="G515">
        <v>146</v>
      </c>
      <c r="H515">
        <v>19</v>
      </c>
      <c r="I515">
        <v>0.50017222699999997</v>
      </c>
      <c r="J515">
        <v>0.85109879300000002</v>
      </c>
      <c r="K515">
        <f>IF(C515=C514,K514+1,1)</f>
        <v>4</v>
      </c>
      <c r="L515">
        <f>MIN(((374/K515)*I515),L516)</f>
        <v>14.457924240222223</v>
      </c>
      <c r="M515">
        <f>-LOG10(L515)</f>
        <v>-1.1601059447061752</v>
      </c>
    </row>
    <row r="516" spans="1:13" x14ac:dyDescent="0.2">
      <c r="A516" t="s">
        <v>309</v>
      </c>
      <c r="B516" t="s">
        <v>24</v>
      </c>
      <c r="C516" t="s">
        <v>25</v>
      </c>
      <c r="D516">
        <v>-8.6196838999999997E-2</v>
      </c>
      <c r="E516" s="7">
        <f>ABS(D516)</f>
        <v>8.6196838999999997E-2</v>
      </c>
      <c r="F516">
        <v>0.116702654</v>
      </c>
      <c r="G516">
        <v>146</v>
      </c>
      <c r="H516">
        <v>30</v>
      </c>
      <c r="I516">
        <v>0.46135909200000003</v>
      </c>
      <c r="J516">
        <v>0.84421080100000001</v>
      </c>
      <c r="K516">
        <f>IF(C516=C515,K515+1,1)</f>
        <v>5</v>
      </c>
      <c r="L516">
        <f>MIN(((374/K516)*I516),L517)</f>
        <v>14.457924240222223</v>
      </c>
      <c r="M516">
        <f>-LOG10(L516)</f>
        <v>-1.1601059447061752</v>
      </c>
    </row>
    <row r="517" spans="1:13" x14ac:dyDescent="0.2">
      <c r="A517" t="s">
        <v>216</v>
      </c>
      <c r="B517" t="s">
        <v>24</v>
      </c>
      <c r="C517" t="s">
        <v>25</v>
      </c>
      <c r="D517">
        <v>8.5294279000000001E-2</v>
      </c>
      <c r="E517" s="7">
        <f>ABS(D517)</f>
        <v>8.5294279000000001E-2</v>
      </c>
      <c r="F517">
        <v>0.24476493299999999</v>
      </c>
      <c r="G517">
        <v>146</v>
      </c>
      <c r="H517">
        <v>69</v>
      </c>
      <c r="I517">
        <v>0.72799654599999997</v>
      </c>
      <c r="J517">
        <v>0.92010748200000003</v>
      </c>
      <c r="K517">
        <f>IF(C517=C516,K516+1,1)</f>
        <v>6</v>
      </c>
      <c r="L517">
        <f>MIN(((374/K517)*I517),L518)</f>
        <v>14.457924240222223</v>
      </c>
      <c r="M517">
        <f>-LOG10(L517)</f>
        <v>-1.1601059447061752</v>
      </c>
    </row>
    <row r="518" spans="1:13" x14ac:dyDescent="0.2">
      <c r="A518" t="s">
        <v>14</v>
      </c>
      <c r="B518" t="s">
        <v>24</v>
      </c>
      <c r="C518" t="s">
        <v>25</v>
      </c>
      <c r="D518">
        <v>-8.4414208000000004E-2</v>
      </c>
      <c r="E518" s="7">
        <f>ABS(D518)</f>
        <v>8.4414208000000004E-2</v>
      </c>
      <c r="F518">
        <v>0.108669218</v>
      </c>
      <c r="G518">
        <v>146</v>
      </c>
      <c r="H518">
        <v>20</v>
      </c>
      <c r="I518">
        <v>0.43856004599999998</v>
      </c>
      <c r="J518">
        <v>0.84113567899999997</v>
      </c>
      <c r="K518">
        <f>IF(C518=C517,K517+1,1)</f>
        <v>7</v>
      </c>
      <c r="L518">
        <f>MIN(((374/K518)*I518),L519)</f>
        <v>14.457924240222223</v>
      </c>
      <c r="M518">
        <f>-LOG10(L518)</f>
        <v>-1.1601059447061752</v>
      </c>
    </row>
    <row r="519" spans="1:13" x14ac:dyDescent="0.2">
      <c r="A519" t="s">
        <v>92</v>
      </c>
      <c r="B519" t="s">
        <v>24</v>
      </c>
      <c r="C519" t="s">
        <v>25</v>
      </c>
      <c r="D519">
        <v>8.4378243000000006E-2</v>
      </c>
      <c r="E519" s="7">
        <f>ABS(D519)</f>
        <v>8.4378243000000006E-2</v>
      </c>
      <c r="F519">
        <v>0.339840902</v>
      </c>
      <c r="G519">
        <v>146</v>
      </c>
      <c r="H519">
        <v>97</v>
      </c>
      <c r="I519">
        <v>0.80426817900000003</v>
      </c>
      <c r="J519">
        <v>0.94430346899999995</v>
      </c>
      <c r="K519">
        <f>IF(C519=C518,K518+1,1)</f>
        <v>8</v>
      </c>
      <c r="L519">
        <f>MIN(((374/K519)*I519),L520)</f>
        <v>14.457924240222223</v>
      </c>
      <c r="M519">
        <f>-LOG10(L519)</f>
        <v>-1.1601059447061752</v>
      </c>
    </row>
    <row r="520" spans="1:13" x14ac:dyDescent="0.2">
      <c r="A520" t="s">
        <v>113</v>
      </c>
      <c r="B520" t="s">
        <v>24</v>
      </c>
      <c r="C520" t="s">
        <v>25</v>
      </c>
      <c r="D520">
        <v>-8.3998425000000002E-2</v>
      </c>
      <c r="E520" s="7">
        <f>ABS(D520)</f>
        <v>8.3998425000000002E-2</v>
      </c>
      <c r="F520">
        <v>8.9195661999999995E-2</v>
      </c>
      <c r="G520">
        <v>146</v>
      </c>
      <c r="H520">
        <v>16</v>
      </c>
      <c r="I520">
        <v>0.347917963</v>
      </c>
      <c r="J520">
        <v>0.77916956900000001</v>
      </c>
      <c r="K520">
        <f>IF(C520=C519,K519+1,1)</f>
        <v>9</v>
      </c>
      <c r="L520">
        <f>MIN(((374/K520)*I520),L521)</f>
        <v>14.457924240222223</v>
      </c>
      <c r="M520">
        <f>-LOG10(L520)</f>
        <v>-1.1601059447061752</v>
      </c>
    </row>
    <row r="521" spans="1:13" x14ac:dyDescent="0.2">
      <c r="A521" t="s">
        <v>355</v>
      </c>
      <c r="B521" t="s">
        <v>10</v>
      </c>
      <c r="C521" t="s">
        <v>11</v>
      </c>
      <c r="D521">
        <v>-8.3372286000000004E-2</v>
      </c>
      <c r="E521" s="7">
        <f>ABS(D521)</f>
        <v>8.3372286000000004E-2</v>
      </c>
      <c r="F521">
        <v>0.184964553</v>
      </c>
      <c r="G521">
        <v>146</v>
      </c>
      <c r="H521">
        <v>25</v>
      </c>
      <c r="I521">
        <v>0.652854343</v>
      </c>
      <c r="J521">
        <v>0.89960398799999997</v>
      </c>
      <c r="K521">
        <f>IF(C521=C520,K520+1,1)</f>
        <v>1</v>
      </c>
      <c r="L521">
        <f>MIN(((374/K521)*I521),L522)</f>
        <v>37.886607286</v>
      </c>
      <c r="M521">
        <f>-LOG10(L521)</f>
        <v>-1.5784857163085262</v>
      </c>
    </row>
    <row r="522" spans="1:13" x14ac:dyDescent="0.2">
      <c r="A522" t="s">
        <v>264</v>
      </c>
      <c r="B522" t="s">
        <v>10</v>
      </c>
      <c r="C522" t="s">
        <v>11</v>
      </c>
      <c r="D522">
        <v>8.2107269999999996E-2</v>
      </c>
      <c r="E522" s="7">
        <f>ABS(D522)</f>
        <v>8.2107269999999996E-2</v>
      </c>
      <c r="F522">
        <v>8.5139271000000002E-2</v>
      </c>
      <c r="G522">
        <v>146</v>
      </c>
      <c r="H522">
        <v>15</v>
      </c>
      <c r="I522">
        <v>0.33647959900000002</v>
      </c>
      <c r="J522">
        <v>0.77889163400000005</v>
      </c>
      <c r="K522">
        <f>IF(C522=C521,K521+1,1)</f>
        <v>2</v>
      </c>
      <c r="L522">
        <f>MIN(((374/K522)*I522),L523)</f>
        <v>37.886607286</v>
      </c>
      <c r="M522">
        <f>-LOG10(L522)</f>
        <v>-1.5784857163085262</v>
      </c>
    </row>
    <row r="523" spans="1:13" x14ac:dyDescent="0.2">
      <c r="A523" t="s">
        <v>194</v>
      </c>
      <c r="B523" t="s">
        <v>10</v>
      </c>
      <c r="C523" t="s">
        <v>11</v>
      </c>
      <c r="D523">
        <v>-8.2088502999999993E-2</v>
      </c>
      <c r="E523" s="7">
        <f>ABS(D523)</f>
        <v>8.2088502999999993E-2</v>
      </c>
      <c r="F523">
        <v>0.15138522900000001</v>
      </c>
      <c r="G523">
        <v>146</v>
      </c>
      <c r="H523">
        <v>17</v>
      </c>
      <c r="I523">
        <v>0.58849092999999997</v>
      </c>
      <c r="J523">
        <v>0.86651814100000002</v>
      </c>
      <c r="K523">
        <f>IF(C523=C522,K522+1,1)</f>
        <v>3</v>
      </c>
      <c r="L523">
        <f>MIN(((374/K523)*I523),L524)</f>
        <v>37.886607286</v>
      </c>
      <c r="M523">
        <f>-LOG10(L523)</f>
        <v>-1.5784857163085262</v>
      </c>
    </row>
    <row r="524" spans="1:13" x14ac:dyDescent="0.2">
      <c r="A524" t="s">
        <v>45</v>
      </c>
      <c r="B524" t="s">
        <v>24</v>
      </c>
      <c r="C524" t="s">
        <v>25</v>
      </c>
      <c r="D524">
        <v>8.1566695999999994E-2</v>
      </c>
      <c r="E524" s="7">
        <f>ABS(D524)</f>
        <v>8.1566695999999994E-2</v>
      </c>
      <c r="F524">
        <v>0.192782863</v>
      </c>
      <c r="G524">
        <v>146</v>
      </c>
      <c r="H524">
        <v>75</v>
      </c>
      <c r="I524">
        <v>0.67285690499999995</v>
      </c>
      <c r="J524">
        <v>0.90274859299999999</v>
      </c>
      <c r="K524">
        <f>IF(C524=C523,K523+1,1)</f>
        <v>1</v>
      </c>
      <c r="L524">
        <f>MIN(((374/K524)*I524),L525)</f>
        <v>37.886607286</v>
      </c>
      <c r="M524">
        <f>-LOG10(L524)</f>
        <v>-1.5784857163085262</v>
      </c>
    </row>
    <row r="525" spans="1:13" x14ac:dyDescent="0.2">
      <c r="A525" t="s">
        <v>48</v>
      </c>
      <c r="B525" t="s">
        <v>24</v>
      </c>
      <c r="C525" t="s">
        <v>25</v>
      </c>
      <c r="D525">
        <v>8.0726883999999999E-2</v>
      </c>
      <c r="E525" s="7">
        <f>ABS(D525)</f>
        <v>8.0726883999999999E-2</v>
      </c>
      <c r="F525">
        <v>7.6422006000000001E-2</v>
      </c>
      <c r="G525">
        <v>146</v>
      </c>
      <c r="H525">
        <v>15</v>
      </c>
      <c r="I525">
        <v>0.292598623</v>
      </c>
      <c r="J525">
        <v>0.74902001500000004</v>
      </c>
      <c r="K525">
        <f>IF(C525=C524,K524+1,1)</f>
        <v>2</v>
      </c>
      <c r="L525">
        <f>MIN(((374/K525)*I525),L526)</f>
        <v>37.886607286</v>
      </c>
      <c r="M525">
        <f>-LOG10(L525)</f>
        <v>-1.5784857163085262</v>
      </c>
    </row>
    <row r="526" spans="1:13" x14ac:dyDescent="0.2">
      <c r="A526" t="s">
        <v>277</v>
      </c>
      <c r="B526" t="s">
        <v>10</v>
      </c>
      <c r="C526" t="s">
        <v>11</v>
      </c>
      <c r="D526">
        <v>-8.0636703000000004E-2</v>
      </c>
      <c r="E526" s="7">
        <f>ABS(D526)</f>
        <v>8.0636703000000004E-2</v>
      </c>
      <c r="F526">
        <v>0.11758355</v>
      </c>
      <c r="G526">
        <v>146</v>
      </c>
      <c r="H526">
        <v>18</v>
      </c>
      <c r="I526">
        <v>0.49396077900000002</v>
      </c>
      <c r="J526">
        <v>0.85109879300000002</v>
      </c>
      <c r="K526">
        <f>IF(C526=C525,K525+1,1)</f>
        <v>1</v>
      </c>
      <c r="L526">
        <f>MIN(((374/K526)*I526),L527)</f>
        <v>37.886607286</v>
      </c>
      <c r="M526">
        <f>-LOG10(L526)</f>
        <v>-1.5784857163085262</v>
      </c>
    </row>
    <row r="527" spans="1:13" x14ac:dyDescent="0.2">
      <c r="A527" t="s">
        <v>352</v>
      </c>
      <c r="B527" t="s">
        <v>24</v>
      </c>
      <c r="C527" t="s">
        <v>25</v>
      </c>
      <c r="D527">
        <v>8.0360002999999999E-2</v>
      </c>
      <c r="E527" s="7">
        <f>ABS(D527)</f>
        <v>8.0360002999999999E-2</v>
      </c>
      <c r="F527">
        <v>0.161750382</v>
      </c>
      <c r="G527">
        <v>146</v>
      </c>
      <c r="H527">
        <v>20</v>
      </c>
      <c r="I527">
        <v>0.62008248700000002</v>
      </c>
      <c r="J527">
        <v>0.87348719500000005</v>
      </c>
      <c r="K527">
        <f>IF(C527=C526,K526+1,1)</f>
        <v>1</v>
      </c>
      <c r="L527">
        <f>MIN(((374/K527)*I527),L528)</f>
        <v>37.886607286</v>
      </c>
      <c r="M527">
        <f>-LOG10(L527)</f>
        <v>-1.5784857163085262</v>
      </c>
    </row>
    <row r="528" spans="1:13" x14ac:dyDescent="0.2">
      <c r="A528" t="s">
        <v>300</v>
      </c>
      <c r="B528" t="s">
        <v>10</v>
      </c>
      <c r="C528" t="s">
        <v>11</v>
      </c>
      <c r="D528">
        <v>7.9372966000000003E-2</v>
      </c>
      <c r="E528" s="7">
        <f>ABS(D528)</f>
        <v>7.9372966000000003E-2</v>
      </c>
      <c r="F528">
        <v>0.10294249599999999</v>
      </c>
      <c r="G528">
        <v>146</v>
      </c>
      <c r="H528">
        <v>19</v>
      </c>
      <c r="I528">
        <v>0.44195428799999997</v>
      </c>
      <c r="J528">
        <v>0.84332093799999996</v>
      </c>
      <c r="K528">
        <f>IF(C528=C527,K527+1,1)</f>
        <v>1</v>
      </c>
      <c r="L528">
        <f>MIN(((374/K528)*I528),L529)</f>
        <v>37.886607286</v>
      </c>
      <c r="M528">
        <f>-LOG10(L528)</f>
        <v>-1.5784857163085262</v>
      </c>
    </row>
    <row r="529" spans="1:13" x14ac:dyDescent="0.2">
      <c r="A529" t="s">
        <v>318</v>
      </c>
      <c r="B529" t="s">
        <v>10</v>
      </c>
      <c r="C529" t="s">
        <v>11</v>
      </c>
      <c r="D529">
        <v>-7.9287601999999999E-2</v>
      </c>
      <c r="E529" s="7">
        <f>ABS(D529)</f>
        <v>7.9287601999999999E-2</v>
      </c>
      <c r="F529">
        <v>0.136449285</v>
      </c>
      <c r="G529">
        <v>146</v>
      </c>
      <c r="H529">
        <v>19</v>
      </c>
      <c r="I529">
        <v>0.56210298199999997</v>
      </c>
      <c r="J529">
        <v>0.85640127899999996</v>
      </c>
      <c r="K529">
        <f>IF(C529=C528,K528+1,1)</f>
        <v>2</v>
      </c>
      <c r="L529">
        <f>MIN(((374/K529)*I529),L530)</f>
        <v>37.886607286</v>
      </c>
      <c r="M529">
        <f>-LOG10(L529)</f>
        <v>-1.5784857163085262</v>
      </c>
    </row>
    <row r="530" spans="1:13" x14ac:dyDescent="0.2">
      <c r="A530" t="s">
        <v>292</v>
      </c>
      <c r="B530" t="s">
        <v>10</v>
      </c>
      <c r="C530" t="s">
        <v>11</v>
      </c>
      <c r="D530">
        <v>7.9061205999999995E-2</v>
      </c>
      <c r="E530" s="7">
        <f>ABS(D530)</f>
        <v>7.9061205999999995E-2</v>
      </c>
      <c r="F530">
        <v>9.7706078000000002E-2</v>
      </c>
      <c r="G530">
        <v>146</v>
      </c>
      <c r="H530">
        <v>17</v>
      </c>
      <c r="I530">
        <v>0.41975943700000001</v>
      </c>
      <c r="J530">
        <v>0.83366836200000005</v>
      </c>
      <c r="K530">
        <f>IF(C530=C529,K529+1,1)</f>
        <v>3</v>
      </c>
      <c r="L530">
        <f>MIN(((374/K530)*I530),L531)</f>
        <v>37.886607286</v>
      </c>
      <c r="M530">
        <f>-LOG10(L530)</f>
        <v>-1.5784857163085262</v>
      </c>
    </row>
    <row r="531" spans="1:13" x14ac:dyDescent="0.2">
      <c r="A531" t="s">
        <v>186</v>
      </c>
      <c r="B531" t="s">
        <v>24</v>
      </c>
      <c r="C531" t="s">
        <v>25</v>
      </c>
      <c r="D531">
        <v>-7.9021195000000002E-2</v>
      </c>
      <c r="E531" s="7">
        <f>ABS(D531)</f>
        <v>7.9021195000000002E-2</v>
      </c>
      <c r="F531">
        <v>0.21462620399999999</v>
      </c>
      <c r="G531">
        <v>146</v>
      </c>
      <c r="H531">
        <v>26</v>
      </c>
      <c r="I531">
        <v>0.71328305199999997</v>
      </c>
      <c r="J531">
        <v>0.91358856600000005</v>
      </c>
      <c r="K531">
        <f>IF(C531=C530,K530+1,1)</f>
        <v>1</v>
      </c>
      <c r="L531">
        <f>MIN(((374/K531)*I531),L532)</f>
        <v>37.886607286</v>
      </c>
      <c r="M531">
        <f>-LOG10(L531)</f>
        <v>-1.5784857163085262</v>
      </c>
    </row>
    <row r="532" spans="1:13" x14ac:dyDescent="0.2">
      <c r="A532" t="s">
        <v>105</v>
      </c>
      <c r="B532" t="s">
        <v>24</v>
      </c>
      <c r="C532" t="s">
        <v>25</v>
      </c>
      <c r="D532">
        <v>-7.8933161000000002E-2</v>
      </c>
      <c r="E532" s="7">
        <f>ABS(D532)</f>
        <v>7.8933161000000002E-2</v>
      </c>
      <c r="F532">
        <v>0.12501251399999999</v>
      </c>
      <c r="G532">
        <v>146</v>
      </c>
      <c r="H532">
        <v>18</v>
      </c>
      <c r="I532">
        <v>0.52878564800000005</v>
      </c>
      <c r="J532">
        <v>0.85640127899999996</v>
      </c>
      <c r="K532">
        <f>IF(C532=C531,K531+1,1)</f>
        <v>2</v>
      </c>
      <c r="L532">
        <f>MIN(((374/K532)*I532),L533)</f>
        <v>37.886607286</v>
      </c>
      <c r="M532">
        <f>-LOG10(L532)</f>
        <v>-1.5784857163085262</v>
      </c>
    </row>
    <row r="533" spans="1:13" x14ac:dyDescent="0.2">
      <c r="A533" t="s">
        <v>329</v>
      </c>
      <c r="B533" t="s">
        <v>24</v>
      </c>
      <c r="C533" t="s">
        <v>25</v>
      </c>
      <c r="D533">
        <v>-7.8660598999999998E-2</v>
      </c>
      <c r="E533" s="7">
        <f>ABS(D533)</f>
        <v>7.8660598999999998E-2</v>
      </c>
      <c r="F533">
        <v>0.123047105</v>
      </c>
      <c r="G533">
        <v>146</v>
      </c>
      <c r="H533">
        <v>26</v>
      </c>
      <c r="I533">
        <v>0.52366855700000003</v>
      </c>
      <c r="J533">
        <v>0.85640127899999996</v>
      </c>
      <c r="K533">
        <f>IF(C533=C532,K532+1,1)</f>
        <v>3</v>
      </c>
      <c r="L533">
        <f>MIN(((374/K533)*I533),L534)</f>
        <v>37.886607286</v>
      </c>
      <c r="M533">
        <f>-LOG10(L533)</f>
        <v>-1.5784857163085262</v>
      </c>
    </row>
    <row r="534" spans="1:13" x14ac:dyDescent="0.2">
      <c r="A534" t="s">
        <v>337</v>
      </c>
      <c r="B534" t="s">
        <v>10</v>
      </c>
      <c r="C534" t="s">
        <v>11</v>
      </c>
      <c r="D534">
        <v>7.8617607000000006E-2</v>
      </c>
      <c r="E534" s="7">
        <f>ABS(D534)</f>
        <v>7.8617607000000006E-2</v>
      </c>
      <c r="F534">
        <v>0.160581047</v>
      </c>
      <c r="G534">
        <v>146</v>
      </c>
      <c r="H534">
        <v>40</v>
      </c>
      <c r="I534">
        <v>0.62517982299999997</v>
      </c>
      <c r="J534">
        <v>0.879012232</v>
      </c>
      <c r="K534">
        <f>IF(C534=C533,K533+1,1)</f>
        <v>1</v>
      </c>
      <c r="L534">
        <f>MIN(((374/K534)*I534),L535)</f>
        <v>37.886607286</v>
      </c>
      <c r="M534">
        <f>-LOG10(L534)</f>
        <v>-1.5784857163085262</v>
      </c>
    </row>
    <row r="535" spans="1:13" x14ac:dyDescent="0.2">
      <c r="A535" t="s">
        <v>343</v>
      </c>
      <c r="B535" t="s">
        <v>24</v>
      </c>
      <c r="C535" t="s">
        <v>25</v>
      </c>
      <c r="D535">
        <v>7.7460289000000002E-2</v>
      </c>
      <c r="E535" s="7">
        <f>ABS(D535)</f>
        <v>7.7460289000000002E-2</v>
      </c>
      <c r="F535">
        <v>0.138363607</v>
      </c>
      <c r="G535">
        <v>146</v>
      </c>
      <c r="H535">
        <v>30</v>
      </c>
      <c r="I535">
        <v>0.57647033999999997</v>
      </c>
      <c r="J535">
        <v>0.86049899200000002</v>
      </c>
      <c r="K535">
        <f>IF(C535=C534,K534+1,1)</f>
        <v>1</v>
      </c>
      <c r="L535">
        <f>MIN(((374/K535)*I535),L536)</f>
        <v>37.886607286</v>
      </c>
      <c r="M535">
        <f>-LOG10(L535)</f>
        <v>-1.5784857163085262</v>
      </c>
    </row>
    <row r="536" spans="1:13" x14ac:dyDescent="0.2">
      <c r="A536" t="s">
        <v>290</v>
      </c>
      <c r="B536" t="s">
        <v>10</v>
      </c>
      <c r="C536" t="s">
        <v>11</v>
      </c>
      <c r="D536">
        <v>-7.7194357000000005E-2</v>
      </c>
      <c r="E536" s="7">
        <f>ABS(D536)</f>
        <v>7.7194357000000005E-2</v>
      </c>
      <c r="F536">
        <v>9.5393897000000005E-2</v>
      </c>
      <c r="G536">
        <v>146</v>
      </c>
      <c r="H536">
        <v>17</v>
      </c>
      <c r="I536">
        <v>0.41973475399999999</v>
      </c>
      <c r="J536">
        <v>0.83366836200000005</v>
      </c>
      <c r="K536">
        <f>IF(C536=C535,K535+1,1)</f>
        <v>1</v>
      </c>
      <c r="L536">
        <f>MIN(((374/K536)*I536),L537)</f>
        <v>37.886607286</v>
      </c>
      <c r="M536">
        <f>-LOG10(L536)</f>
        <v>-1.5784857163085262</v>
      </c>
    </row>
    <row r="537" spans="1:13" x14ac:dyDescent="0.2">
      <c r="A537" t="s">
        <v>281</v>
      </c>
      <c r="B537" t="s">
        <v>24</v>
      </c>
      <c r="C537" t="s">
        <v>25</v>
      </c>
      <c r="D537">
        <v>-7.7096119000000005E-2</v>
      </c>
      <c r="E537" s="7">
        <f>ABS(D537)</f>
        <v>7.7096119000000005E-2</v>
      </c>
      <c r="F537">
        <v>0.18372850800000001</v>
      </c>
      <c r="G537">
        <v>146</v>
      </c>
      <c r="H537">
        <v>37</v>
      </c>
      <c r="I537">
        <v>0.67539296000000004</v>
      </c>
      <c r="J537">
        <v>0.90274859299999999</v>
      </c>
      <c r="K537">
        <f>IF(C537=C536,K536+1,1)</f>
        <v>1</v>
      </c>
      <c r="L537">
        <f>MIN(((374/K537)*I537),L538)</f>
        <v>37.886607286</v>
      </c>
      <c r="M537">
        <f>-LOG10(L537)</f>
        <v>-1.5784857163085262</v>
      </c>
    </row>
    <row r="538" spans="1:13" x14ac:dyDescent="0.2">
      <c r="A538" t="s">
        <v>321</v>
      </c>
      <c r="B538" t="s">
        <v>24</v>
      </c>
      <c r="C538" t="s">
        <v>25</v>
      </c>
      <c r="D538">
        <v>7.6912237999999994E-2</v>
      </c>
      <c r="E538" s="7">
        <f>ABS(D538)</f>
        <v>7.6912237999999994E-2</v>
      </c>
      <c r="F538">
        <v>0.12755751900000001</v>
      </c>
      <c r="G538">
        <v>146</v>
      </c>
      <c r="H538">
        <v>17</v>
      </c>
      <c r="I538">
        <v>0.54748956100000001</v>
      </c>
      <c r="J538">
        <v>0.85640127899999996</v>
      </c>
      <c r="K538">
        <f>IF(C538=C537,K537+1,1)</f>
        <v>2</v>
      </c>
      <c r="L538">
        <f>MIN(((374/K538)*I538),L539)</f>
        <v>37.886607286</v>
      </c>
      <c r="M538">
        <f>-LOG10(L538)</f>
        <v>-1.5784857163085262</v>
      </c>
    </row>
    <row r="539" spans="1:13" x14ac:dyDescent="0.2">
      <c r="A539" t="s">
        <v>296</v>
      </c>
      <c r="B539" t="s">
        <v>10</v>
      </c>
      <c r="C539" t="s">
        <v>11</v>
      </c>
      <c r="D539">
        <v>7.6744139000000003E-2</v>
      </c>
      <c r="E539" s="7">
        <f>ABS(D539)</f>
        <v>7.6744139000000003E-2</v>
      </c>
      <c r="F539">
        <v>0.26668807500000002</v>
      </c>
      <c r="G539">
        <v>146</v>
      </c>
      <c r="H539">
        <v>80</v>
      </c>
      <c r="I539">
        <v>0.77394140600000005</v>
      </c>
      <c r="J539">
        <v>0.93579157999999996</v>
      </c>
      <c r="K539">
        <f>IF(C539=C538,K538+1,1)</f>
        <v>1</v>
      </c>
      <c r="L539">
        <f>MIN(((374/K539)*I539),L540)</f>
        <v>37.886607286</v>
      </c>
      <c r="M539">
        <f>-LOG10(L539)</f>
        <v>-1.5784857163085262</v>
      </c>
    </row>
    <row r="540" spans="1:13" x14ac:dyDescent="0.2">
      <c r="A540" t="s">
        <v>342</v>
      </c>
      <c r="B540" t="s">
        <v>24</v>
      </c>
      <c r="C540" t="s">
        <v>25</v>
      </c>
      <c r="D540">
        <v>-7.6627359000000006E-2</v>
      </c>
      <c r="E540" s="7">
        <f>ABS(D540)</f>
        <v>7.6627359000000006E-2</v>
      </c>
      <c r="F540">
        <v>0.13564511200000001</v>
      </c>
      <c r="G540">
        <v>146</v>
      </c>
      <c r="H540">
        <v>16</v>
      </c>
      <c r="I540">
        <v>0.57301972000000001</v>
      </c>
      <c r="J540">
        <v>0.86049899200000002</v>
      </c>
      <c r="K540">
        <f>IF(C540=C539,K539+1,1)</f>
        <v>1</v>
      </c>
      <c r="L540">
        <f>MIN(((374/K540)*I540),L541)</f>
        <v>37.886607286</v>
      </c>
      <c r="M540">
        <f>-LOG10(L540)</f>
        <v>-1.5784857163085262</v>
      </c>
    </row>
    <row r="541" spans="1:13" x14ac:dyDescent="0.2">
      <c r="A541" t="s">
        <v>257</v>
      </c>
      <c r="B541" t="s">
        <v>10</v>
      </c>
      <c r="C541" t="s">
        <v>11</v>
      </c>
      <c r="D541">
        <v>7.6559310000000005E-2</v>
      </c>
      <c r="E541" s="7">
        <f>ABS(D541)</f>
        <v>7.6559310000000005E-2</v>
      </c>
      <c r="F541">
        <v>0.13075215200000001</v>
      </c>
      <c r="G541">
        <v>146</v>
      </c>
      <c r="H541">
        <v>20</v>
      </c>
      <c r="I541">
        <v>0.55911429499999998</v>
      </c>
      <c r="J541">
        <v>0.85640127899999996</v>
      </c>
      <c r="K541">
        <f>IF(C541=C540,K540+1,1)</f>
        <v>1</v>
      </c>
      <c r="L541">
        <f>MIN(((374/K541)*I541),L542)</f>
        <v>37.886607286</v>
      </c>
      <c r="M541">
        <f>-LOG10(L541)</f>
        <v>-1.5784857163085262</v>
      </c>
    </row>
    <row r="542" spans="1:13" x14ac:dyDescent="0.2">
      <c r="A542" t="s">
        <v>134</v>
      </c>
      <c r="B542" t="s">
        <v>24</v>
      </c>
      <c r="C542" t="s">
        <v>25</v>
      </c>
      <c r="D542">
        <v>-7.5857808999999998E-2</v>
      </c>
      <c r="E542" s="7">
        <f>ABS(D542)</f>
        <v>7.5857808999999998E-2</v>
      </c>
      <c r="F542">
        <v>9.5717615000000006E-2</v>
      </c>
      <c r="G542">
        <v>146</v>
      </c>
      <c r="H542">
        <v>16</v>
      </c>
      <c r="I542">
        <v>0.42937227700000002</v>
      </c>
      <c r="J542">
        <v>0.83666758600000002</v>
      </c>
      <c r="K542">
        <f>IF(C542=C541,K541+1,1)</f>
        <v>1</v>
      </c>
      <c r="L542">
        <f>MIN(((374/K542)*I542),L543)</f>
        <v>37.886607286</v>
      </c>
      <c r="M542">
        <f>-LOG10(L542)</f>
        <v>-1.5784857163085262</v>
      </c>
    </row>
    <row r="543" spans="1:13" x14ac:dyDescent="0.2">
      <c r="A543" t="s">
        <v>197</v>
      </c>
      <c r="B543" t="s">
        <v>10</v>
      </c>
      <c r="C543" t="s">
        <v>11</v>
      </c>
      <c r="D543">
        <v>-7.5835440000000004E-2</v>
      </c>
      <c r="E543" s="7">
        <f>ABS(D543)</f>
        <v>7.5835440000000004E-2</v>
      </c>
      <c r="F543">
        <v>0.109038417</v>
      </c>
      <c r="G543">
        <v>146</v>
      </c>
      <c r="H543">
        <v>17</v>
      </c>
      <c r="I543">
        <v>0.48787517699999999</v>
      </c>
      <c r="J543">
        <v>0.85065415499999997</v>
      </c>
      <c r="K543">
        <f>IF(C543=C542,K542+1,1)</f>
        <v>1</v>
      </c>
      <c r="L543">
        <f>MIN(((374/K543)*I543),L544)</f>
        <v>37.886607286</v>
      </c>
      <c r="M543">
        <f>-LOG10(L543)</f>
        <v>-1.5784857163085262</v>
      </c>
    </row>
    <row r="544" spans="1:13" x14ac:dyDescent="0.2">
      <c r="A544" t="s">
        <v>371</v>
      </c>
      <c r="B544" t="s">
        <v>10</v>
      </c>
      <c r="C544" t="s">
        <v>11</v>
      </c>
      <c r="D544">
        <v>-7.5800795000000004E-2</v>
      </c>
      <c r="E544" s="7">
        <f>ABS(D544)</f>
        <v>7.5800795000000004E-2</v>
      </c>
      <c r="F544">
        <v>0.28017681500000002</v>
      </c>
      <c r="G544">
        <v>146</v>
      </c>
      <c r="H544">
        <v>33</v>
      </c>
      <c r="I544">
        <v>0.78713010900000002</v>
      </c>
      <c r="J544">
        <v>0.93799408799999995</v>
      </c>
      <c r="K544">
        <f>IF(C544=C543,K543+1,1)</f>
        <v>2</v>
      </c>
      <c r="L544">
        <f>MIN(((374/K544)*I544),L545)</f>
        <v>37.886607286</v>
      </c>
      <c r="M544">
        <f>-LOG10(L544)</f>
        <v>-1.5784857163085262</v>
      </c>
    </row>
    <row r="545" spans="1:13" x14ac:dyDescent="0.2">
      <c r="A545" t="s">
        <v>313</v>
      </c>
      <c r="B545" t="s">
        <v>24</v>
      </c>
      <c r="C545" t="s">
        <v>25</v>
      </c>
      <c r="D545">
        <v>7.5512460000000003E-2</v>
      </c>
      <c r="E545" s="7">
        <f>ABS(D545)</f>
        <v>7.5512460000000003E-2</v>
      </c>
      <c r="F545">
        <v>0.110478162</v>
      </c>
      <c r="G545">
        <v>146</v>
      </c>
      <c r="H545">
        <v>22</v>
      </c>
      <c r="I545">
        <v>0.49539331199999997</v>
      </c>
      <c r="J545">
        <v>0.85109879300000002</v>
      </c>
      <c r="K545">
        <f>IF(C545=C544,K544+1,1)</f>
        <v>1</v>
      </c>
      <c r="L545">
        <f>MIN(((374/K545)*I545),L546)</f>
        <v>37.886607286</v>
      </c>
      <c r="M545">
        <f>-LOG10(L545)</f>
        <v>-1.5784857163085262</v>
      </c>
    </row>
    <row r="546" spans="1:13" x14ac:dyDescent="0.2">
      <c r="A546" t="s">
        <v>360</v>
      </c>
      <c r="B546" t="s">
        <v>24</v>
      </c>
      <c r="C546" t="s">
        <v>25</v>
      </c>
      <c r="D546">
        <v>7.4953814999999993E-2</v>
      </c>
      <c r="E546" s="7">
        <f>ABS(D546)</f>
        <v>7.4953814999999993E-2</v>
      </c>
      <c r="F546">
        <v>0.181870372</v>
      </c>
      <c r="G546">
        <v>146</v>
      </c>
      <c r="H546">
        <v>21</v>
      </c>
      <c r="I546">
        <v>0.68086297799999995</v>
      </c>
      <c r="J546">
        <v>0.90274859299999999</v>
      </c>
      <c r="K546">
        <f>IF(C546=C545,K545+1,1)</f>
        <v>2</v>
      </c>
      <c r="L546">
        <f>MIN(((374/K546)*I546),L547)</f>
        <v>37.886607286</v>
      </c>
      <c r="M546">
        <f>-LOG10(L546)</f>
        <v>-1.5784857163085262</v>
      </c>
    </row>
    <row r="547" spans="1:13" x14ac:dyDescent="0.2">
      <c r="A547" t="s">
        <v>375</v>
      </c>
      <c r="B547" t="s">
        <v>10</v>
      </c>
      <c r="C547" t="s">
        <v>11</v>
      </c>
      <c r="D547">
        <v>-7.4936125000000006E-2</v>
      </c>
      <c r="E547" s="7">
        <f>ABS(D547)</f>
        <v>7.4936125000000006E-2</v>
      </c>
      <c r="F547">
        <v>0.31427950300000002</v>
      </c>
      <c r="G547">
        <v>146</v>
      </c>
      <c r="H547">
        <v>19</v>
      </c>
      <c r="I547">
        <v>0.81188286399999998</v>
      </c>
      <c r="J547">
        <v>0.94623808700000001</v>
      </c>
      <c r="K547">
        <f>IF(C547=C546,K546+1,1)</f>
        <v>1</v>
      </c>
      <c r="L547">
        <f>MIN(((374/K547)*I547),L548)</f>
        <v>37.886607286</v>
      </c>
      <c r="M547">
        <f>-LOG10(L547)</f>
        <v>-1.5784857163085262</v>
      </c>
    </row>
    <row r="548" spans="1:13" x14ac:dyDescent="0.2">
      <c r="A548" t="s">
        <v>261</v>
      </c>
      <c r="B548" t="s">
        <v>10</v>
      </c>
      <c r="C548" t="s">
        <v>11</v>
      </c>
      <c r="D548">
        <v>-7.4396551000000005E-2</v>
      </c>
      <c r="E548" s="7">
        <f>ABS(D548)</f>
        <v>7.4396551000000005E-2</v>
      </c>
      <c r="F548">
        <v>0.19885393000000001</v>
      </c>
      <c r="G548">
        <v>146</v>
      </c>
      <c r="H548">
        <v>100</v>
      </c>
      <c r="I548">
        <v>0.70886426300000005</v>
      </c>
      <c r="J548">
        <v>0.91358856600000005</v>
      </c>
      <c r="K548">
        <f>IF(C548=C547,K547+1,1)</f>
        <v>2</v>
      </c>
      <c r="L548">
        <f>MIN(((374/K548)*I548),L549)</f>
        <v>37.886607286</v>
      </c>
      <c r="M548">
        <f>-LOG10(L548)</f>
        <v>-1.5784857163085262</v>
      </c>
    </row>
    <row r="549" spans="1:13" x14ac:dyDescent="0.2">
      <c r="A549" t="s">
        <v>135</v>
      </c>
      <c r="B549" t="s">
        <v>24</v>
      </c>
      <c r="C549" t="s">
        <v>25</v>
      </c>
      <c r="D549">
        <v>7.3963622000000007E-2</v>
      </c>
      <c r="E549" s="7">
        <f>ABS(D549)</f>
        <v>7.3963622000000007E-2</v>
      </c>
      <c r="F549">
        <v>0.13129771400000001</v>
      </c>
      <c r="G549">
        <v>146</v>
      </c>
      <c r="H549">
        <v>30</v>
      </c>
      <c r="I549">
        <v>0.574094098</v>
      </c>
      <c r="J549">
        <v>0.86049899200000002</v>
      </c>
      <c r="K549">
        <f>IF(C549=C548,K548+1,1)</f>
        <v>1</v>
      </c>
      <c r="L549">
        <f>MIN(((374/K549)*I549),L550)</f>
        <v>37.886607286</v>
      </c>
      <c r="M549">
        <f>-LOG10(L549)</f>
        <v>-1.5784857163085262</v>
      </c>
    </row>
    <row r="550" spans="1:13" x14ac:dyDescent="0.2">
      <c r="A550" t="s">
        <v>256</v>
      </c>
      <c r="B550" t="s">
        <v>10</v>
      </c>
      <c r="C550" t="s">
        <v>11</v>
      </c>
      <c r="D550">
        <v>7.3783947000000003E-2</v>
      </c>
      <c r="E550" s="7">
        <f>ABS(D550)</f>
        <v>7.3783947000000003E-2</v>
      </c>
      <c r="F550">
        <v>0.13857904900000001</v>
      </c>
      <c r="G550">
        <v>146</v>
      </c>
      <c r="H550">
        <v>25</v>
      </c>
      <c r="I550">
        <v>0.59525302700000005</v>
      </c>
      <c r="J550">
        <v>0.868914827</v>
      </c>
      <c r="K550">
        <f>IF(C550=C549,K549+1,1)</f>
        <v>1</v>
      </c>
      <c r="L550">
        <f>MIN(((374/K550)*I550),L551)</f>
        <v>37.886607286</v>
      </c>
      <c r="M550">
        <f>-LOG10(L550)</f>
        <v>-1.5784857163085262</v>
      </c>
    </row>
    <row r="551" spans="1:13" x14ac:dyDescent="0.2">
      <c r="A551" t="s">
        <v>324</v>
      </c>
      <c r="B551" t="s">
        <v>24</v>
      </c>
      <c r="C551" t="s">
        <v>25</v>
      </c>
      <c r="D551">
        <v>7.1727681000000001E-2</v>
      </c>
      <c r="E551" s="7">
        <f>ABS(D551)</f>
        <v>7.1727681000000001E-2</v>
      </c>
      <c r="F551">
        <v>0.13968803799999999</v>
      </c>
      <c r="G551">
        <v>146</v>
      </c>
      <c r="H551">
        <v>18</v>
      </c>
      <c r="I551">
        <v>0.60840470300000005</v>
      </c>
      <c r="J551">
        <v>0.868914827</v>
      </c>
      <c r="K551">
        <f>IF(C551=C550,K550+1,1)</f>
        <v>1</v>
      </c>
      <c r="L551">
        <f>MIN(((374/K551)*I551),L552)</f>
        <v>37.886607286</v>
      </c>
      <c r="M551">
        <f>-LOG10(L551)</f>
        <v>-1.5784857163085262</v>
      </c>
    </row>
    <row r="552" spans="1:13" x14ac:dyDescent="0.2">
      <c r="A552" t="s">
        <v>212</v>
      </c>
      <c r="B552" t="s">
        <v>24</v>
      </c>
      <c r="C552" t="s">
        <v>25</v>
      </c>
      <c r="D552">
        <v>-7.0806694000000003E-2</v>
      </c>
      <c r="E552" s="7">
        <f>ABS(D552)</f>
        <v>7.0806694000000003E-2</v>
      </c>
      <c r="F552">
        <v>0.120960867</v>
      </c>
      <c r="G552">
        <v>146</v>
      </c>
      <c r="H552">
        <v>21</v>
      </c>
      <c r="I552">
        <v>0.55922250299999998</v>
      </c>
      <c r="J552">
        <v>0.85640127899999996</v>
      </c>
      <c r="K552">
        <f>IF(C552=C551,K551+1,1)</f>
        <v>2</v>
      </c>
      <c r="L552">
        <f>MIN(((374/K552)*I552),L553)</f>
        <v>37.886607286</v>
      </c>
      <c r="M552">
        <f>-LOG10(L552)</f>
        <v>-1.5784857163085262</v>
      </c>
    </row>
    <row r="553" spans="1:13" x14ac:dyDescent="0.2">
      <c r="A553" t="s">
        <v>274</v>
      </c>
      <c r="B553" t="s">
        <v>24</v>
      </c>
      <c r="C553" t="s">
        <v>25</v>
      </c>
      <c r="D553">
        <v>7.0623380999999999E-2</v>
      </c>
      <c r="E553" s="7">
        <f>ABS(D553)</f>
        <v>7.0623380999999999E-2</v>
      </c>
      <c r="F553">
        <v>0.19019361700000001</v>
      </c>
      <c r="G553">
        <v>146</v>
      </c>
      <c r="H553">
        <v>22</v>
      </c>
      <c r="I553">
        <v>0.71094608500000001</v>
      </c>
      <c r="J553">
        <v>0.91358856600000005</v>
      </c>
      <c r="K553">
        <f>IF(C553=C552,K552+1,1)</f>
        <v>3</v>
      </c>
      <c r="L553">
        <f>MIN(((374/K553)*I553),L554)</f>
        <v>37.886607286</v>
      </c>
      <c r="M553">
        <f>-LOG10(L553)</f>
        <v>-1.5784857163085262</v>
      </c>
    </row>
    <row r="554" spans="1:13" x14ac:dyDescent="0.2">
      <c r="A554" t="s">
        <v>351</v>
      </c>
      <c r="B554" t="s">
        <v>24</v>
      </c>
      <c r="C554" t="s">
        <v>25</v>
      </c>
      <c r="D554">
        <v>-7.0571170000000003E-2</v>
      </c>
      <c r="E554" s="7">
        <f>ABS(D554)</f>
        <v>7.0571170000000003E-2</v>
      </c>
      <c r="F554">
        <v>0.278572651</v>
      </c>
      <c r="G554">
        <v>146</v>
      </c>
      <c r="H554">
        <v>137</v>
      </c>
      <c r="I554">
        <v>0.800376054</v>
      </c>
      <c r="J554">
        <v>0.94280517900000005</v>
      </c>
      <c r="K554">
        <f>IF(C554=C553,K553+1,1)</f>
        <v>4</v>
      </c>
      <c r="L554">
        <f>MIN(((374/K554)*I554),L555)</f>
        <v>37.886607286</v>
      </c>
      <c r="M554">
        <f>-LOG10(L554)</f>
        <v>-1.5784857163085262</v>
      </c>
    </row>
    <row r="555" spans="1:13" x14ac:dyDescent="0.2">
      <c r="A555" t="s">
        <v>317</v>
      </c>
      <c r="B555" t="s">
        <v>10</v>
      </c>
      <c r="C555" t="s">
        <v>11</v>
      </c>
      <c r="D555">
        <v>7.0201891000000002E-2</v>
      </c>
      <c r="E555" s="7">
        <f>ABS(D555)</f>
        <v>7.0201891000000002E-2</v>
      </c>
      <c r="F555">
        <v>0.17554861599999999</v>
      </c>
      <c r="G555">
        <v>146</v>
      </c>
      <c r="H555">
        <v>40</v>
      </c>
      <c r="I555">
        <v>0.689826881</v>
      </c>
      <c r="J555">
        <v>0.90366113299999995</v>
      </c>
      <c r="K555">
        <f>IF(C555=C554,K554+1,1)</f>
        <v>1</v>
      </c>
      <c r="L555">
        <f>MIN(((374/K555)*I555),L556)</f>
        <v>37.886607286</v>
      </c>
      <c r="M555">
        <f>-LOG10(L555)</f>
        <v>-1.5784857163085262</v>
      </c>
    </row>
    <row r="556" spans="1:13" x14ac:dyDescent="0.2">
      <c r="A556" t="s">
        <v>338</v>
      </c>
      <c r="B556" t="s">
        <v>24</v>
      </c>
      <c r="C556" t="s">
        <v>25</v>
      </c>
      <c r="D556">
        <v>6.9151391000000006E-2</v>
      </c>
      <c r="E556" s="7">
        <f>ABS(D556)</f>
        <v>6.9151391000000006E-2</v>
      </c>
      <c r="F556">
        <v>0.11991798200000001</v>
      </c>
      <c r="G556">
        <v>146</v>
      </c>
      <c r="H556">
        <v>23</v>
      </c>
      <c r="I556">
        <v>0.56507865599999996</v>
      </c>
      <c r="J556">
        <v>0.85640127899999996</v>
      </c>
      <c r="K556">
        <f>IF(C556=C555,K555+1,1)</f>
        <v>1</v>
      </c>
      <c r="L556">
        <f>MIN(((374/K556)*I556),L557)</f>
        <v>37.886607286</v>
      </c>
      <c r="M556">
        <f>-LOG10(L556)</f>
        <v>-1.5784857163085262</v>
      </c>
    </row>
    <row r="557" spans="1:13" x14ac:dyDescent="0.2">
      <c r="A557" t="s">
        <v>171</v>
      </c>
      <c r="B557" t="s">
        <v>24</v>
      </c>
      <c r="C557" t="s">
        <v>25</v>
      </c>
      <c r="D557">
        <v>-6.9123258000000007E-2</v>
      </c>
      <c r="E557" s="7">
        <f>ABS(D557)</f>
        <v>6.9123258000000007E-2</v>
      </c>
      <c r="F557">
        <v>8.6486353000000002E-2</v>
      </c>
      <c r="G557">
        <v>146</v>
      </c>
      <c r="H557">
        <v>18</v>
      </c>
      <c r="I557">
        <v>0.42547743700000001</v>
      </c>
      <c r="J557">
        <v>0.83666758600000002</v>
      </c>
      <c r="K557">
        <f>IF(C557=C556,K556+1,1)</f>
        <v>2</v>
      </c>
      <c r="L557">
        <f>MIN(((374/K557)*I557),L558)</f>
        <v>37.886607286</v>
      </c>
      <c r="M557">
        <f>-LOG10(L557)</f>
        <v>-1.5784857163085262</v>
      </c>
    </row>
    <row r="558" spans="1:13" x14ac:dyDescent="0.2">
      <c r="A558" t="s">
        <v>153</v>
      </c>
      <c r="B558" t="s">
        <v>24</v>
      </c>
      <c r="C558" t="s">
        <v>25</v>
      </c>
      <c r="D558">
        <v>6.8837289999999995E-2</v>
      </c>
      <c r="E558" s="7">
        <f>ABS(D558)</f>
        <v>6.8837289999999995E-2</v>
      </c>
      <c r="F558">
        <v>0.10106095700000001</v>
      </c>
      <c r="G558">
        <v>146</v>
      </c>
      <c r="H558">
        <v>15</v>
      </c>
      <c r="I558">
        <v>0.4968805</v>
      </c>
      <c r="J558">
        <v>0.85109879300000002</v>
      </c>
      <c r="K558">
        <f>IF(C558=C557,K557+1,1)</f>
        <v>3</v>
      </c>
      <c r="L558">
        <f>MIN(((374/K558)*I558),L559)</f>
        <v>37.886607286</v>
      </c>
      <c r="M558">
        <f>-LOG10(L558)</f>
        <v>-1.5784857163085262</v>
      </c>
    </row>
    <row r="559" spans="1:13" x14ac:dyDescent="0.2">
      <c r="A559" t="s">
        <v>239</v>
      </c>
      <c r="B559" t="s">
        <v>24</v>
      </c>
      <c r="C559" t="s">
        <v>25</v>
      </c>
      <c r="D559">
        <v>-6.8371335000000005E-2</v>
      </c>
      <c r="E559" s="7">
        <f>ABS(D559)</f>
        <v>6.8371335000000005E-2</v>
      </c>
      <c r="F559">
        <v>0.13202453</v>
      </c>
      <c r="G559">
        <v>146</v>
      </c>
      <c r="H559">
        <v>19</v>
      </c>
      <c r="I559">
        <v>0.60535033500000002</v>
      </c>
      <c r="J559">
        <v>0.868914827</v>
      </c>
      <c r="K559">
        <f>IF(C559=C558,K558+1,1)</f>
        <v>4</v>
      </c>
      <c r="L559">
        <f>MIN(((374/K559)*I559),L560)</f>
        <v>37.886607286</v>
      </c>
      <c r="M559">
        <f>-LOG10(L559)</f>
        <v>-1.5784857163085262</v>
      </c>
    </row>
    <row r="560" spans="1:13" x14ac:dyDescent="0.2">
      <c r="A560" t="s">
        <v>97</v>
      </c>
      <c r="B560" t="s">
        <v>10</v>
      </c>
      <c r="C560" t="s">
        <v>11</v>
      </c>
      <c r="D560">
        <v>-6.8292610000000004E-2</v>
      </c>
      <c r="E560" s="7">
        <f>ABS(D560)</f>
        <v>6.8292610000000004E-2</v>
      </c>
      <c r="F560">
        <v>0.108032057</v>
      </c>
      <c r="G560">
        <v>146</v>
      </c>
      <c r="H560">
        <v>20</v>
      </c>
      <c r="I560">
        <v>0.52829738100000001</v>
      </c>
      <c r="J560">
        <v>0.85640127899999996</v>
      </c>
      <c r="K560">
        <f>IF(C560=C559,K559+1,1)</f>
        <v>1</v>
      </c>
      <c r="L560">
        <f>MIN(((374/K560)*I560),L561)</f>
        <v>37.886607286</v>
      </c>
      <c r="M560">
        <f>-LOG10(L560)</f>
        <v>-1.5784857163085262</v>
      </c>
    </row>
    <row r="561" spans="1:13" x14ac:dyDescent="0.2">
      <c r="A561" t="s">
        <v>365</v>
      </c>
      <c r="B561" t="s">
        <v>24</v>
      </c>
      <c r="C561" t="s">
        <v>25</v>
      </c>
      <c r="D561">
        <v>6.7170951000000007E-2</v>
      </c>
      <c r="E561" s="7">
        <f>ABS(D561)</f>
        <v>6.7170951000000007E-2</v>
      </c>
      <c r="F561">
        <v>0.20161358300000001</v>
      </c>
      <c r="G561">
        <v>146</v>
      </c>
      <c r="H561">
        <v>20</v>
      </c>
      <c r="I561">
        <v>0.73949635899999999</v>
      </c>
      <c r="J561">
        <v>0.92719762800000005</v>
      </c>
      <c r="K561">
        <f>IF(C561=C560,K560+1,1)</f>
        <v>1</v>
      </c>
      <c r="L561">
        <f>MIN(((374/K561)*I561),L562)</f>
        <v>37.886607286</v>
      </c>
      <c r="M561">
        <f>-LOG10(L561)</f>
        <v>-1.5784857163085262</v>
      </c>
    </row>
    <row r="562" spans="1:13" x14ac:dyDescent="0.2">
      <c r="A562" t="s">
        <v>341</v>
      </c>
      <c r="B562" t="s">
        <v>10</v>
      </c>
      <c r="C562" t="s">
        <v>11</v>
      </c>
      <c r="D562">
        <v>-6.6997050000000002E-2</v>
      </c>
      <c r="E562" s="7">
        <f>ABS(D562)</f>
        <v>6.6997050000000002E-2</v>
      </c>
      <c r="F562">
        <v>0.12027940600000001</v>
      </c>
      <c r="G562">
        <v>146</v>
      </c>
      <c r="H562">
        <v>18</v>
      </c>
      <c r="I562">
        <v>0.57839011500000004</v>
      </c>
      <c r="J562">
        <v>0.86049899200000002</v>
      </c>
      <c r="K562">
        <f>IF(C562=C561,K561+1,1)</f>
        <v>1</v>
      </c>
      <c r="L562">
        <f>MIN(((374/K562)*I562),L563)</f>
        <v>37.886607286</v>
      </c>
      <c r="M562">
        <f>-LOG10(L562)</f>
        <v>-1.5784857163085262</v>
      </c>
    </row>
    <row r="563" spans="1:13" x14ac:dyDescent="0.2">
      <c r="A563" t="s">
        <v>303</v>
      </c>
      <c r="B563" t="s">
        <v>24</v>
      </c>
      <c r="C563" t="s">
        <v>25</v>
      </c>
      <c r="D563">
        <v>-6.6952011000000006E-2</v>
      </c>
      <c r="E563" s="7">
        <f>ABS(D563)</f>
        <v>6.6952011000000006E-2</v>
      </c>
      <c r="F563">
        <v>0.11625727700000001</v>
      </c>
      <c r="G563">
        <v>146</v>
      </c>
      <c r="H563">
        <v>21</v>
      </c>
      <c r="I563">
        <v>0.56559121899999998</v>
      </c>
      <c r="J563">
        <v>0.85640127899999996</v>
      </c>
      <c r="K563">
        <f>IF(C563=C562,K562+1,1)</f>
        <v>1</v>
      </c>
      <c r="L563">
        <f>MIN(((374/K563)*I563),L564)</f>
        <v>37.886607286</v>
      </c>
      <c r="M563">
        <f>-LOG10(L563)</f>
        <v>-1.5784857163085262</v>
      </c>
    </row>
    <row r="564" spans="1:13" x14ac:dyDescent="0.2">
      <c r="A564" t="s">
        <v>315</v>
      </c>
      <c r="B564" t="s">
        <v>10</v>
      </c>
      <c r="C564" t="s">
        <v>11</v>
      </c>
      <c r="D564">
        <v>-6.6852492999999999E-2</v>
      </c>
      <c r="E564" s="7">
        <f>ABS(D564)</f>
        <v>6.6852492999999999E-2</v>
      </c>
      <c r="F564">
        <v>9.9277082000000003E-2</v>
      </c>
      <c r="G564">
        <v>146</v>
      </c>
      <c r="H564">
        <v>17</v>
      </c>
      <c r="I564">
        <v>0.50178418199999997</v>
      </c>
      <c r="J564">
        <v>0.85109879300000002</v>
      </c>
      <c r="K564">
        <f>IF(C564=C563,K563+1,1)</f>
        <v>1</v>
      </c>
      <c r="L564">
        <f>MIN(((374/K564)*I564),L565)</f>
        <v>37.886607286</v>
      </c>
      <c r="M564">
        <f>-LOG10(L564)</f>
        <v>-1.5784857163085262</v>
      </c>
    </row>
    <row r="565" spans="1:13" x14ac:dyDescent="0.2">
      <c r="A565" t="s">
        <v>110</v>
      </c>
      <c r="B565" t="s">
        <v>10</v>
      </c>
      <c r="C565" t="s">
        <v>11</v>
      </c>
      <c r="D565">
        <v>6.6572065E-2</v>
      </c>
      <c r="E565" s="7">
        <f>ABS(D565)</f>
        <v>6.6572065E-2</v>
      </c>
      <c r="F565">
        <v>0.174892679</v>
      </c>
      <c r="G565">
        <v>146</v>
      </c>
      <c r="H565">
        <v>85</v>
      </c>
      <c r="I565">
        <v>0.70403136200000005</v>
      </c>
      <c r="J565">
        <v>0.91358856600000005</v>
      </c>
      <c r="K565">
        <f>IF(C565=C564,K564+1,1)</f>
        <v>2</v>
      </c>
      <c r="L565">
        <f>MIN(((374/K565)*I565),L566)</f>
        <v>37.886607286</v>
      </c>
      <c r="M565">
        <f>-LOG10(L565)</f>
        <v>-1.5784857163085262</v>
      </c>
    </row>
    <row r="566" spans="1:13" x14ac:dyDescent="0.2">
      <c r="A566" t="s">
        <v>345</v>
      </c>
      <c r="B566" t="s">
        <v>24</v>
      </c>
      <c r="C566" t="s">
        <v>25</v>
      </c>
      <c r="D566">
        <v>-6.6220614999999997E-2</v>
      </c>
      <c r="E566" s="7">
        <f>ABS(D566)</f>
        <v>6.6220614999999997E-2</v>
      </c>
      <c r="F566">
        <v>0.204986791</v>
      </c>
      <c r="G566">
        <v>146</v>
      </c>
      <c r="H566">
        <v>34</v>
      </c>
      <c r="I566">
        <v>0.74713062799999996</v>
      </c>
      <c r="J566">
        <v>0.92832842100000001</v>
      </c>
      <c r="K566">
        <f>IF(C566=C565,K565+1,1)</f>
        <v>1</v>
      </c>
      <c r="L566">
        <f>MIN(((374/K566)*I566),L567)</f>
        <v>37.886607286</v>
      </c>
      <c r="M566">
        <f>-LOG10(L566)</f>
        <v>-1.5784857163085262</v>
      </c>
    </row>
    <row r="567" spans="1:13" x14ac:dyDescent="0.2">
      <c r="A567" t="s">
        <v>327</v>
      </c>
      <c r="B567" t="s">
        <v>10</v>
      </c>
      <c r="C567" t="s">
        <v>11</v>
      </c>
      <c r="D567">
        <v>-6.5857947999999999E-2</v>
      </c>
      <c r="E567" s="7">
        <f>ABS(D567)</f>
        <v>6.5857947999999999E-2</v>
      </c>
      <c r="F567">
        <v>0.102399667</v>
      </c>
      <c r="G567">
        <v>146</v>
      </c>
      <c r="H567">
        <v>18</v>
      </c>
      <c r="I567">
        <v>0.52115927100000004</v>
      </c>
      <c r="J567">
        <v>0.85640127899999996</v>
      </c>
      <c r="K567">
        <f>IF(C567=C566,K566+1,1)</f>
        <v>1</v>
      </c>
      <c r="L567">
        <f>MIN(((374/K567)*I567),L568)</f>
        <v>37.886607286</v>
      </c>
      <c r="M567">
        <f>-LOG10(L567)</f>
        <v>-1.5784857163085262</v>
      </c>
    </row>
    <row r="568" spans="1:13" x14ac:dyDescent="0.2">
      <c r="A568" t="s">
        <v>27</v>
      </c>
      <c r="B568" t="s">
        <v>24</v>
      </c>
      <c r="C568" t="s">
        <v>25</v>
      </c>
      <c r="D568">
        <v>-6.5097286000000004E-2</v>
      </c>
      <c r="E568" s="7">
        <f>ABS(D568)</f>
        <v>6.5097286000000004E-2</v>
      </c>
      <c r="F568">
        <v>0.18303219500000001</v>
      </c>
      <c r="G568">
        <v>146</v>
      </c>
      <c r="H568">
        <v>24</v>
      </c>
      <c r="I568">
        <v>0.72261908200000002</v>
      </c>
      <c r="J568">
        <v>0.91832556799999998</v>
      </c>
      <c r="K568">
        <f>IF(C568=C567,K567+1,1)</f>
        <v>1</v>
      </c>
      <c r="L568">
        <f>MIN(((374/K568)*I568),L569)</f>
        <v>37.886607286</v>
      </c>
      <c r="M568">
        <f>-LOG10(L568)</f>
        <v>-1.5784857163085262</v>
      </c>
    </row>
    <row r="569" spans="1:13" x14ac:dyDescent="0.2">
      <c r="A569" t="s">
        <v>291</v>
      </c>
      <c r="B569" t="s">
        <v>24</v>
      </c>
      <c r="C569" t="s">
        <v>25</v>
      </c>
      <c r="D569">
        <v>-6.3872665999999995E-2</v>
      </c>
      <c r="E569" s="7">
        <f>ABS(D569)</f>
        <v>6.3872665999999995E-2</v>
      </c>
      <c r="F569">
        <v>7.8694443000000003E-2</v>
      </c>
      <c r="G569">
        <v>146</v>
      </c>
      <c r="H569">
        <v>17</v>
      </c>
      <c r="I569">
        <v>0.41833912499999998</v>
      </c>
      <c r="J569">
        <v>0.83366836200000005</v>
      </c>
      <c r="K569">
        <f>IF(C569=C568,K568+1,1)</f>
        <v>2</v>
      </c>
      <c r="L569">
        <f>MIN(((374/K569)*I569),L570)</f>
        <v>37.886607286</v>
      </c>
      <c r="M569">
        <f>-LOG10(L569)</f>
        <v>-1.5784857163085262</v>
      </c>
    </row>
    <row r="570" spans="1:13" x14ac:dyDescent="0.2">
      <c r="A570" t="s">
        <v>246</v>
      </c>
      <c r="B570" t="s">
        <v>10</v>
      </c>
      <c r="C570" t="s">
        <v>11</v>
      </c>
      <c r="D570">
        <v>-6.3525845999999997E-2</v>
      </c>
      <c r="E570" s="7">
        <f>ABS(D570)</f>
        <v>6.3525845999999997E-2</v>
      </c>
      <c r="F570">
        <v>0.34080210300000002</v>
      </c>
      <c r="G570">
        <v>146</v>
      </c>
      <c r="H570">
        <v>114</v>
      </c>
      <c r="I570">
        <v>0.85239449599999995</v>
      </c>
      <c r="J570">
        <v>0.95408795700000004</v>
      </c>
      <c r="K570">
        <f>IF(C570=C569,K569+1,1)</f>
        <v>1</v>
      </c>
      <c r="L570">
        <f>MIN(((374/K570)*I570),L571)</f>
        <v>37.886607286</v>
      </c>
      <c r="M570">
        <f>-LOG10(L570)</f>
        <v>-1.5784857163085262</v>
      </c>
    </row>
    <row r="571" spans="1:13" x14ac:dyDescent="0.2">
      <c r="A571" t="s">
        <v>330</v>
      </c>
      <c r="B571" t="s">
        <v>24</v>
      </c>
      <c r="C571" t="s">
        <v>25</v>
      </c>
      <c r="D571">
        <v>-6.3138143999999993E-2</v>
      </c>
      <c r="E571" s="7">
        <f>ABS(D571)</f>
        <v>6.3138143999999993E-2</v>
      </c>
      <c r="F571">
        <v>0.106460018</v>
      </c>
      <c r="G571">
        <v>146</v>
      </c>
      <c r="H571">
        <v>20</v>
      </c>
      <c r="I571">
        <v>0.55407172599999999</v>
      </c>
      <c r="J571">
        <v>0.85640127899999996</v>
      </c>
      <c r="K571">
        <f>IF(C571=C570,K570+1,1)</f>
        <v>1</v>
      </c>
      <c r="L571">
        <f>MIN(((374/K571)*I571),L572)</f>
        <v>37.886607286</v>
      </c>
      <c r="M571">
        <f>-LOG10(L571)</f>
        <v>-1.5784857163085262</v>
      </c>
    </row>
    <row r="572" spans="1:13" x14ac:dyDescent="0.2">
      <c r="A572" t="s">
        <v>275</v>
      </c>
      <c r="B572" t="s">
        <v>24</v>
      </c>
      <c r="C572" t="s">
        <v>25</v>
      </c>
      <c r="D572">
        <v>6.2588986999999999E-2</v>
      </c>
      <c r="E572" s="7">
        <f>ABS(D572)</f>
        <v>6.2588986999999999E-2</v>
      </c>
      <c r="F572">
        <v>0.14377649200000001</v>
      </c>
      <c r="G572">
        <v>146</v>
      </c>
      <c r="H572">
        <v>31</v>
      </c>
      <c r="I572">
        <v>0.66398546899999999</v>
      </c>
      <c r="J572">
        <v>0.90138136199999996</v>
      </c>
      <c r="K572">
        <f>IF(C572=C571,K571+1,1)</f>
        <v>2</v>
      </c>
      <c r="L572">
        <f>MIN(((374/K572)*I572),L573)</f>
        <v>37.886607286</v>
      </c>
      <c r="M572">
        <f>-LOG10(L572)</f>
        <v>-1.5784857163085262</v>
      </c>
    </row>
    <row r="573" spans="1:13" x14ac:dyDescent="0.2">
      <c r="A573" t="s">
        <v>280</v>
      </c>
      <c r="B573" t="s">
        <v>24</v>
      </c>
      <c r="C573" t="s">
        <v>25</v>
      </c>
      <c r="D573">
        <v>6.2176844000000002E-2</v>
      </c>
      <c r="E573" s="7">
        <f>ABS(D573)</f>
        <v>6.2176844000000002E-2</v>
      </c>
      <c r="F573">
        <v>9.9794498999999995E-2</v>
      </c>
      <c r="G573">
        <v>146</v>
      </c>
      <c r="H573">
        <v>15</v>
      </c>
      <c r="I573">
        <v>0.534244846</v>
      </c>
      <c r="J573">
        <v>0.85640127899999996</v>
      </c>
      <c r="K573">
        <f>IF(C573=C572,K572+1,1)</f>
        <v>3</v>
      </c>
      <c r="L573">
        <f>MIN(((374/K573)*I573),L574)</f>
        <v>37.886607286</v>
      </c>
      <c r="M573">
        <f>-LOG10(L573)</f>
        <v>-1.5784857163085262</v>
      </c>
    </row>
    <row r="574" spans="1:13" x14ac:dyDescent="0.2">
      <c r="A574" t="s">
        <v>356</v>
      </c>
      <c r="B574" t="s">
        <v>10</v>
      </c>
      <c r="C574" t="s">
        <v>11</v>
      </c>
      <c r="D574">
        <v>6.1890957000000003E-2</v>
      </c>
      <c r="E574" s="7">
        <f>ABS(D574)</f>
        <v>6.1890957000000003E-2</v>
      </c>
      <c r="F574">
        <v>0.13825585900000001</v>
      </c>
      <c r="G574">
        <v>146</v>
      </c>
      <c r="H574">
        <v>23</v>
      </c>
      <c r="I574">
        <v>0.65507944399999996</v>
      </c>
      <c r="J574">
        <v>0.89960398799999997</v>
      </c>
      <c r="K574">
        <f>IF(C574=C573,K573+1,1)</f>
        <v>1</v>
      </c>
      <c r="L574">
        <f>MIN(((374/K574)*I574),L575)</f>
        <v>37.886607286</v>
      </c>
      <c r="M574">
        <f>-LOG10(L574)</f>
        <v>-1.5784857163085262</v>
      </c>
    </row>
    <row r="575" spans="1:13" x14ac:dyDescent="0.2">
      <c r="A575" t="s">
        <v>224</v>
      </c>
      <c r="B575" t="s">
        <v>10</v>
      </c>
      <c r="C575" t="s">
        <v>11</v>
      </c>
      <c r="D575">
        <v>6.1832400000000003E-2</v>
      </c>
      <c r="E575" s="7">
        <f>ABS(D575)</f>
        <v>6.1832400000000003E-2</v>
      </c>
      <c r="F575">
        <v>0.23319783499999999</v>
      </c>
      <c r="G575">
        <v>146</v>
      </c>
      <c r="H575">
        <v>140</v>
      </c>
      <c r="I575">
        <v>0.79127576099999997</v>
      </c>
      <c r="J575">
        <v>0.93799408799999995</v>
      </c>
      <c r="K575">
        <f>IF(C575=C574,K574+1,1)</f>
        <v>2</v>
      </c>
      <c r="L575">
        <f>MIN(((374/K575)*I575),L576)</f>
        <v>37.886607286</v>
      </c>
      <c r="M575">
        <f>-LOG10(L575)</f>
        <v>-1.5784857163085262</v>
      </c>
    </row>
    <row r="576" spans="1:13" x14ac:dyDescent="0.2">
      <c r="A576" t="s">
        <v>333</v>
      </c>
      <c r="B576" t="s">
        <v>10</v>
      </c>
      <c r="C576" t="s">
        <v>11</v>
      </c>
      <c r="D576">
        <v>6.0930904000000001E-2</v>
      </c>
      <c r="E576" s="7">
        <f>ABS(D576)</f>
        <v>6.0930904000000001E-2</v>
      </c>
      <c r="F576">
        <v>0.17336670000000001</v>
      </c>
      <c r="G576">
        <v>146</v>
      </c>
      <c r="H576">
        <v>15</v>
      </c>
      <c r="I576">
        <v>0.72576299700000002</v>
      </c>
      <c r="J576">
        <v>0.92010748200000003</v>
      </c>
      <c r="K576">
        <f>IF(C576=C575,K575+1,1)</f>
        <v>3</v>
      </c>
      <c r="L576">
        <f>MIN(((374/K576)*I576),L577)</f>
        <v>37.886607286</v>
      </c>
      <c r="M576">
        <f>-LOG10(L576)</f>
        <v>-1.5784857163085262</v>
      </c>
    </row>
    <row r="577" spans="1:13" x14ac:dyDescent="0.2">
      <c r="A577" t="s">
        <v>240</v>
      </c>
      <c r="B577" t="s">
        <v>24</v>
      </c>
      <c r="C577" t="s">
        <v>25</v>
      </c>
      <c r="D577">
        <v>-6.0920795E-2</v>
      </c>
      <c r="E577" s="7">
        <f>ABS(D577)</f>
        <v>6.0920795E-2</v>
      </c>
      <c r="F577">
        <v>0.21328001599999999</v>
      </c>
      <c r="G577">
        <v>146</v>
      </c>
      <c r="H577">
        <v>32</v>
      </c>
      <c r="I577">
        <v>0.77556902100000003</v>
      </c>
      <c r="J577">
        <v>0.93579157999999996</v>
      </c>
      <c r="K577">
        <f>IF(C577=C576,K576+1,1)</f>
        <v>1</v>
      </c>
      <c r="L577">
        <f>MIN(((374/K577)*I577),L578)</f>
        <v>37.886607286</v>
      </c>
      <c r="M577">
        <f>-LOG10(L577)</f>
        <v>-1.5784857163085262</v>
      </c>
    </row>
    <row r="578" spans="1:13" x14ac:dyDescent="0.2">
      <c r="A578" t="s">
        <v>26</v>
      </c>
      <c r="B578" t="s">
        <v>24</v>
      </c>
      <c r="C578" t="s">
        <v>25</v>
      </c>
      <c r="D578">
        <v>-6.0554983999999999E-2</v>
      </c>
      <c r="E578" s="7">
        <f>ABS(D578)</f>
        <v>6.0554983999999999E-2</v>
      </c>
      <c r="F578">
        <v>0.195174287</v>
      </c>
      <c r="G578">
        <v>146</v>
      </c>
      <c r="H578">
        <v>84</v>
      </c>
      <c r="I578">
        <v>0.75681414899999999</v>
      </c>
      <c r="J578">
        <v>0.92955169699999995</v>
      </c>
      <c r="K578">
        <f>IF(C578=C577,K577+1,1)</f>
        <v>2</v>
      </c>
      <c r="L578">
        <f>MIN(((374/K578)*I578),L579)</f>
        <v>37.886607286</v>
      </c>
      <c r="M578">
        <f>-LOG10(L578)</f>
        <v>-1.5784857163085262</v>
      </c>
    </row>
    <row r="579" spans="1:13" x14ac:dyDescent="0.2">
      <c r="A579" t="s">
        <v>362</v>
      </c>
      <c r="B579" t="s">
        <v>24</v>
      </c>
      <c r="C579" t="s">
        <v>25</v>
      </c>
      <c r="D579">
        <v>-6.0281705999999997E-2</v>
      </c>
      <c r="E579" s="7">
        <f>ABS(D579)</f>
        <v>6.0281705999999997E-2</v>
      </c>
      <c r="F579">
        <v>0.142656435</v>
      </c>
      <c r="G579">
        <v>146</v>
      </c>
      <c r="H579">
        <v>27</v>
      </c>
      <c r="I579">
        <v>0.673246915</v>
      </c>
      <c r="J579">
        <v>0.90274859299999999</v>
      </c>
      <c r="K579">
        <f>IF(C579=C578,K578+1,1)</f>
        <v>3</v>
      </c>
      <c r="L579">
        <f>MIN(((374/K579)*I579),L580)</f>
        <v>37.886607286</v>
      </c>
      <c r="M579">
        <f>-LOG10(L579)</f>
        <v>-1.5784857163085262</v>
      </c>
    </row>
    <row r="580" spans="1:13" x14ac:dyDescent="0.2">
      <c r="A580" t="s">
        <v>190</v>
      </c>
      <c r="B580" t="s">
        <v>10</v>
      </c>
      <c r="C580" t="s">
        <v>11</v>
      </c>
      <c r="D580">
        <v>6.0204236000000001E-2</v>
      </c>
      <c r="E580" s="7">
        <f>ABS(D580)</f>
        <v>6.0204236000000001E-2</v>
      </c>
      <c r="F580">
        <v>0.16911395000000001</v>
      </c>
      <c r="G580">
        <v>146</v>
      </c>
      <c r="H580">
        <v>32</v>
      </c>
      <c r="I580">
        <v>0.72236667600000004</v>
      </c>
      <c r="J580">
        <v>0.91832556799999998</v>
      </c>
      <c r="K580">
        <f>IF(C580=C579,K579+1,1)</f>
        <v>1</v>
      </c>
      <c r="L580">
        <f>MIN(((374/K580)*I580),L581)</f>
        <v>37.886607286</v>
      </c>
      <c r="M580">
        <f>-LOG10(L580)</f>
        <v>-1.5784857163085262</v>
      </c>
    </row>
    <row r="581" spans="1:13" x14ac:dyDescent="0.2">
      <c r="A581" t="s">
        <v>156</v>
      </c>
      <c r="B581" t="s">
        <v>10</v>
      </c>
      <c r="C581" t="s">
        <v>11</v>
      </c>
      <c r="D581">
        <v>-6.0127713999999999E-2</v>
      </c>
      <c r="E581" s="7">
        <f>ABS(D581)</f>
        <v>6.0127713999999999E-2</v>
      </c>
      <c r="F581">
        <v>0.11637316</v>
      </c>
      <c r="G581">
        <v>146</v>
      </c>
      <c r="H581">
        <v>16</v>
      </c>
      <c r="I581">
        <v>0.60617752400000002</v>
      </c>
      <c r="J581">
        <v>0.868914827</v>
      </c>
      <c r="K581">
        <f>IF(C581=C580,K580+1,1)</f>
        <v>2</v>
      </c>
      <c r="L581">
        <f>MIN(((374/K581)*I581),L582)</f>
        <v>37.886607286</v>
      </c>
      <c r="M581">
        <f>-LOG10(L581)</f>
        <v>-1.5784857163085262</v>
      </c>
    </row>
    <row r="582" spans="1:13" x14ac:dyDescent="0.2">
      <c r="A582" t="s">
        <v>350</v>
      </c>
      <c r="B582" t="s">
        <v>10</v>
      </c>
      <c r="C582" t="s">
        <v>11</v>
      </c>
      <c r="D582">
        <v>-5.8990095999999999E-2</v>
      </c>
      <c r="E582" s="7">
        <f>ABS(D582)</f>
        <v>5.8990095999999999E-2</v>
      </c>
      <c r="F582">
        <v>0.116107189</v>
      </c>
      <c r="G582">
        <v>146</v>
      </c>
      <c r="H582">
        <v>25</v>
      </c>
      <c r="I582">
        <v>0.61218999100000004</v>
      </c>
      <c r="J582">
        <v>0.868914827</v>
      </c>
      <c r="K582">
        <f>IF(C582=C581,K581+1,1)</f>
        <v>3</v>
      </c>
      <c r="L582">
        <f>MIN(((374/K582)*I582),L583)</f>
        <v>37.886607286</v>
      </c>
      <c r="M582">
        <f>-LOG10(L582)</f>
        <v>-1.5784857163085262</v>
      </c>
    </row>
    <row r="583" spans="1:13" x14ac:dyDescent="0.2">
      <c r="A583" t="s">
        <v>21</v>
      </c>
      <c r="B583" t="s">
        <v>24</v>
      </c>
      <c r="C583" t="s">
        <v>25</v>
      </c>
      <c r="D583">
        <v>-5.8906543999999998E-2</v>
      </c>
      <c r="E583" s="7">
        <f>ABS(D583)</f>
        <v>5.8906543999999998E-2</v>
      </c>
      <c r="F583">
        <v>0.132735295</v>
      </c>
      <c r="G583">
        <v>146</v>
      </c>
      <c r="H583">
        <v>29</v>
      </c>
      <c r="I583">
        <v>0.65786548300000003</v>
      </c>
      <c r="J583">
        <v>0.89960398799999997</v>
      </c>
      <c r="K583">
        <f>IF(C583=C582,K582+1,1)</f>
        <v>1</v>
      </c>
      <c r="L583">
        <f>MIN(((374/K583)*I583),L584)</f>
        <v>37.886607286</v>
      </c>
      <c r="M583">
        <f>-LOG10(L583)</f>
        <v>-1.5784857163085262</v>
      </c>
    </row>
    <row r="584" spans="1:13" x14ac:dyDescent="0.2">
      <c r="A584" t="s">
        <v>234</v>
      </c>
      <c r="B584" t="s">
        <v>24</v>
      </c>
      <c r="C584" t="s">
        <v>25</v>
      </c>
      <c r="D584">
        <v>-5.8635630000000001E-2</v>
      </c>
      <c r="E584" s="7">
        <f>ABS(D584)</f>
        <v>5.8635630000000001E-2</v>
      </c>
      <c r="F584">
        <v>0.22032353599999999</v>
      </c>
      <c r="G584">
        <v>146</v>
      </c>
      <c r="H584">
        <v>47</v>
      </c>
      <c r="I584">
        <v>0.79051918700000001</v>
      </c>
      <c r="J584">
        <v>0.93799408799999995</v>
      </c>
      <c r="K584">
        <f>IF(C584=C583,K583+1,1)</f>
        <v>2</v>
      </c>
      <c r="L584">
        <f>MIN(((374/K584)*I584),L585)</f>
        <v>37.886607286</v>
      </c>
      <c r="M584">
        <f>-LOG10(L584)</f>
        <v>-1.5784857163085262</v>
      </c>
    </row>
    <row r="585" spans="1:13" x14ac:dyDescent="0.2">
      <c r="A585" t="s">
        <v>343</v>
      </c>
      <c r="B585" t="s">
        <v>10</v>
      </c>
      <c r="C585" t="s">
        <v>11</v>
      </c>
      <c r="D585">
        <v>-5.8337881000000001E-2</v>
      </c>
      <c r="E585" s="7">
        <f>ABS(D585)</f>
        <v>5.8337881000000001E-2</v>
      </c>
      <c r="F585">
        <v>0.148027413</v>
      </c>
      <c r="G585">
        <v>146</v>
      </c>
      <c r="H585">
        <v>30</v>
      </c>
      <c r="I585">
        <v>0.69409290000000001</v>
      </c>
      <c r="J585">
        <v>0.90607589700000002</v>
      </c>
      <c r="K585">
        <f>IF(C585=C584,K584+1,1)</f>
        <v>1</v>
      </c>
      <c r="L585">
        <f>MIN(((374/K585)*I585),L586)</f>
        <v>37.886607286</v>
      </c>
      <c r="M585">
        <f>-LOG10(L585)</f>
        <v>-1.5784857163085262</v>
      </c>
    </row>
    <row r="586" spans="1:13" x14ac:dyDescent="0.2">
      <c r="A586" t="s">
        <v>131</v>
      </c>
      <c r="B586" t="s">
        <v>24</v>
      </c>
      <c r="C586" t="s">
        <v>25</v>
      </c>
      <c r="D586">
        <v>-5.7867573999999998E-2</v>
      </c>
      <c r="E586" s="7">
        <f>ABS(D586)</f>
        <v>5.7867573999999998E-2</v>
      </c>
      <c r="F586">
        <v>0.16086471099999999</v>
      </c>
      <c r="G586">
        <v>146</v>
      </c>
      <c r="H586">
        <v>42</v>
      </c>
      <c r="I586">
        <v>0.71958109299999995</v>
      </c>
      <c r="J586">
        <v>0.91832556799999998</v>
      </c>
      <c r="K586">
        <f>IF(C586=C585,K585+1,1)</f>
        <v>1</v>
      </c>
      <c r="L586">
        <f>MIN(((374/K586)*I586),L587)</f>
        <v>37.886607286</v>
      </c>
      <c r="M586">
        <f>-LOG10(L586)</f>
        <v>-1.5784857163085262</v>
      </c>
    </row>
    <row r="587" spans="1:13" x14ac:dyDescent="0.2">
      <c r="A587" t="s">
        <v>103</v>
      </c>
      <c r="B587" t="s">
        <v>24</v>
      </c>
      <c r="C587" t="s">
        <v>25</v>
      </c>
      <c r="D587">
        <v>5.7620941000000002E-2</v>
      </c>
      <c r="E587" s="7">
        <f>ABS(D587)</f>
        <v>5.7620941000000002E-2</v>
      </c>
      <c r="F587">
        <v>0.273688553</v>
      </c>
      <c r="G587">
        <v>146</v>
      </c>
      <c r="H587">
        <v>113</v>
      </c>
      <c r="I587">
        <v>0.83355005800000004</v>
      </c>
      <c r="J587">
        <v>0.95264123300000003</v>
      </c>
      <c r="K587">
        <f>IF(C587=C586,K586+1,1)</f>
        <v>2</v>
      </c>
      <c r="L587">
        <f>MIN(((374/K587)*I587),L588)</f>
        <v>37.886607286</v>
      </c>
      <c r="M587">
        <f>-LOG10(L587)</f>
        <v>-1.5784857163085262</v>
      </c>
    </row>
    <row r="588" spans="1:13" x14ac:dyDescent="0.2">
      <c r="A588" t="s">
        <v>20</v>
      </c>
      <c r="B588" t="s">
        <v>24</v>
      </c>
      <c r="C588" t="s">
        <v>25</v>
      </c>
      <c r="D588">
        <v>-5.7169062E-2</v>
      </c>
      <c r="E588" s="7">
        <f>ABS(D588)</f>
        <v>5.7169062E-2</v>
      </c>
      <c r="F588">
        <v>0.397274079</v>
      </c>
      <c r="G588">
        <v>146</v>
      </c>
      <c r="H588">
        <v>110</v>
      </c>
      <c r="I588">
        <v>0.88577940499999996</v>
      </c>
      <c r="J588">
        <v>0.96162989099999996</v>
      </c>
      <c r="K588">
        <f>IF(C588=C587,K587+1,1)</f>
        <v>3</v>
      </c>
      <c r="L588">
        <f>MIN(((374/K588)*I588),L589)</f>
        <v>37.886607286</v>
      </c>
      <c r="M588">
        <f>-LOG10(L588)</f>
        <v>-1.5784857163085262</v>
      </c>
    </row>
    <row r="589" spans="1:13" x14ac:dyDescent="0.2">
      <c r="A589" t="s">
        <v>292</v>
      </c>
      <c r="B589" t="s">
        <v>24</v>
      </c>
      <c r="C589" t="s">
        <v>25</v>
      </c>
      <c r="D589">
        <v>-5.7096085999999997E-2</v>
      </c>
      <c r="E589" s="7">
        <f>ABS(D589)</f>
        <v>5.7096085999999997E-2</v>
      </c>
      <c r="F589">
        <v>9.1327446000000007E-2</v>
      </c>
      <c r="G589">
        <v>146</v>
      </c>
      <c r="H589">
        <v>17</v>
      </c>
      <c r="I589">
        <v>0.53284934500000003</v>
      </c>
      <c r="J589">
        <v>0.85640127899999996</v>
      </c>
      <c r="K589">
        <f>IF(C589=C588,K588+1,1)</f>
        <v>4</v>
      </c>
      <c r="L589">
        <f>MIN(((374/K589)*I589),L590)</f>
        <v>37.886607286</v>
      </c>
      <c r="M589">
        <f>-LOG10(L589)</f>
        <v>-1.5784857163085262</v>
      </c>
    </row>
    <row r="590" spans="1:13" x14ac:dyDescent="0.2">
      <c r="A590" t="s">
        <v>367</v>
      </c>
      <c r="B590" t="s">
        <v>24</v>
      </c>
      <c r="C590" t="s">
        <v>25</v>
      </c>
      <c r="D590">
        <v>-5.6446716000000001E-2</v>
      </c>
      <c r="E590" s="7">
        <f>ABS(D590)</f>
        <v>5.6446716000000001E-2</v>
      </c>
      <c r="F590">
        <v>0.174230093</v>
      </c>
      <c r="G590">
        <v>146</v>
      </c>
      <c r="H590">
        <v>32</v>
      </c>
      <c r="I590">
        <v>0.746428062</v>
      </c>
      <c r="J590">
        <v>0.92832842100000001</v>
      </c>
      <c r="K590">
        <f>IF(C590=C589,K589+1,1)</f>
        <v>5</v>
      </c>
      <c r="L590">
        <f>MIN(((374/K590)*I590),L591)</f>
        <v>37.886607286</v>
      </c>
      <c r="M590">
        <f>-LOG10(L590)</f>
        <v>-1.5784857163085262</v>
      </c>
    </row>
    <row r="591" spans="1:13" x14ac:dyDescent="0.2">
      <c r="A591" t="s">
        <v>332</v>
      </c>
      <c r="B591" t="s">
        <v>10</v>
      </c>
      <c r="C591" t="s">
        <v>11</v>
      </c>
      <c r="D591">
        <v>5.6084922000000002E-2</v>
      </c>
      <c r="E591" s="7">
        <f>ABS(D591)</f>
        <v>5.6084922000000002E-2</v>
      </c>
      <c r="F591">
        <v>0.18274822600000001</v>
      </c>
      <c r="G591">
        <v>146</v>
      </c>
      <c r="H591">
        <v>23</v>
      </c>
      <c r="I591">
        <v>0.75936804999999996</v>
      </c>
      <c r="J591">
        <v>0.92963551799999999</v>
      </c>
      <c r="K591">
        <f>IF(C591=C590,K590+1,1)</f>
        <v>1</v>
      </c>
      <c r="L591">
        <f>MIN(((374/K591)*I591),L592)</f>
        <v>37.886607286</v>
      </c>
      <c r="M591">
        <f>-LOG10(L591)</f>
        <v>-1.5784857163085262</v>
      </c>
    </row>
    <row r="592" spans="1:13" x14ac:dyDescent="0.2">
      <c r="A592" t="s">
        <v>122</v>
      </c>
      <c r="B592" t="s">
        <v>24</v>
      </c>
      <c r="C592" t="s">
        <v>25</v>
      </c>
      <c r="D592">
        <v>5.5580005000000002E-2</v>
      </c>
      <c r="E592" s="7">
        <f>ABS(D592)</f>
        <v>5.5580005000000002E-2</v>
      </c>
      <c r="F592">
        <v>0.207629443</v>
      </c>
      <c r="G592">
        <v>146</v>
      </c>
      <c r="H592">
        <v>23</v>
      </c>
      <c r="I592">
        <v>0.78932484999999997</v>
      </c>
      <c r="J592">
        <v>0.93799408799999995</v>
      </c>
      <c r="K592">
        <f>IF(C592=C591,K591+1,1)</f>
        <v>1</v>
      </c>
      <c r="L592">
        <f>MIN(((374/K592)*I592),L593)</f>
        <v>37.886607286</v>
      </c>
      <c r="M592">
        <f>-LOG10(L592)</f>
        <v>-1.5784857163085262</v>
      </c>
    </row>
    <row r="593" spans="1:13" x14ac:dyDescent="0.2">
      <c r="A593" t="s">
        <v>339</v>
      </c>
      <c r="B593" t="s">
        <v>24</v>
      </c>
      <c r="C593" t="s">
        <v>25</v>
      </c>
      <c r="D593">
        <v>-5.5554636999999997E-2</v>
      </c>
      <c r="E593" s="7">
        <f>ABS(D593)</f>
        <v>5.5554636999999997E-2</v>
      </c>
      <c r="F593">
        <v>0.29027175999999999</v>
      </c>
      <c r="G593">
        <v>146</v>
      </c>
      <c r="H593">
        <v>20</v>
      </c>
      <c r="I593">
        <v>0.84849281499999996</v>
      </c>
      <c r="J593">
        <v>0.95408795700000004</v>
      </c>
      <c r="K593">
        <f>IF(C593=C592,K592+1,1)</f>
        <v>2</v>
      </c>
      <c r="L593">
        <f>MIN(((374/K593)*I593),L594)</f>
        <v>37.886607286</v>
      </c>
      <c r="M593">
        <f>-LOG10(L593)</f>
        <v>-1.5784857163085262</v>
      </c>
    </row>
    <row r="594" spans="1:13" x14ac:dyDescent="0.2">
      <c r="A594" t="s">
        <v>349</v>
      </c>
      <c r="B594" t="s">
        <v>10</v>
      </c>
      <c r="C594" t="s">
        <v>11</v>
      </c>
      <c r="D594">
        <v>5.5450793999999998E-2</v>
      </c>
      <c r="E594" s="7">
        <f>ABS(D594)</f>
        <v>5.5450793999999998E-2</v>
      </c>
      <c r="F594">
        <v>0.24491591800000001</v>
      </c>
      <c r="G594">
        <v>146</v>
      </c>
      <c r="H594">
        <v>26</v>
      </c>
      <c r="I594">
        <v>0.82120782400000003</v>
      </c>
      <c r="J594">
        <v>0.95234643799999996</v>
      </c>
      <c r="K594">
        <f>IF(C594=C593,K593+1,1)</f>
        <v>1</v>
      </c>
      <c r="L594">
        <f>MIN(((374/K594)*I594),L595)</f>
        <v>37.886607286</v>
      </c>
      <c r="M594">
        <f>-LOG10(L594)</f>
        <v>-1.5784857163085262</v>
      </c>
    </row>
    <row r="595" spans="1:13" x14ac:dyDescent="0.2">
      <c r="A595" t="s">
        <v>361</v>
      </c>
      <c r="B595" t="s">
        <v>24</v>
      </c>
      <c r="C595" t="s">
        <v>25</v>
      </c>
      <c r="D595">
        <v>-5.5195886999999999E-2</v>
      </c>
      <c r="E595" s="7">
        <f>ABS(D595)</f>
        <v>5.5195886999999999E-2</v>
      </c>
      <c r="F595">
        <v>0.136023647</v>
      </c>
      <c r="G595">
        <v>146</v>
      </c>
      <c r="H595">
        <v>27</v>
      </c>
      <c r="I595">
        <v>0.68550962699999995</v>
      </c>
      <c r="J595">
        <v>0.90274859299999999</v>
      </c>
      <c r="K595">
        <f>IF(C595=C594,K594+1,1)</f>
        <v>1</v>
      </c>
      <c r="L595">
        <f>MIN(((374/K595)*I595),L596)</f>
        <v>37.886607286</v>
      </c>
      <c r="M595">
        <f>-LOG10(L595)</f>
        <v>-1.5784857163085262</v>
      </c>
    </row>
    <row r="596" spans="1:13" x14ac:dyDescent="0.2">
      <c r="A596" t="s">
        <v>99</v>
      </c>
      <c r="B596" t="s">
        <v>24</v>
      </c>
      <c r="C596" t="s">
        <v>25</v>
      </c>
      <c r="D596">
        <v>-5.4601950000000003E-2</v>
      </c>
      <c r="E596" s="7">
        <f>ABS(D596)</f>
        <v>5.4601950000000003E-2</v>
      </c>
      <c r="F596">
        <v>0.13755905199999999</v>
      </c>
      <c r="G596">
        <v>146</v>
      </c>
      <c r="H596">
        <v>15</v>
      </c>
      <c r="I596">
        <v>0.69200744999999997</v>
      </c>
      <c r="J596">
        <v>0.90493281999999997</v>
      </c>
      <c r="K596">
        <f>IF(C596=C595,K595+1,1)</f>
        <v>2</v>
      </c>
      <c r="L596">
        <f>MIN(((374/K596)*I596),L597)</f>
        <v>37.886607286</v>
      </c>
      <c r="M596">
        <f>-LOG10(L596)</f>
        <v>-1.5784857163085262</v>
      </c>
    </row>
    <row r="597" spans="1:13" x14ac:dyDescent="0.2">
      <c r="A597" t="s">
        <v>181</v>
      </c>
      <c r="B597" t="s">
        <v>10</v>
      </c>
      <c r="C597" t="s">
        <v>11</v>
      </c>
      <c r="D597">
        <v>5.4263543999999997E-2</v>
      </c>
      <c r="E597" s="7">
        <f>ABS(D597)</f>
        <v>5.4263543999999997E-2</v>
      </c>
      <c r="F597">
        <v>9.0831097E-2</v>
      </c>
      <c r="G597">
        <v>146</v>
      </c>
      <c r="H597">
        <v>15</v>
      </c>
      <c r="I597">
        <v>0.55117747800000005</v>
      </c>
      <c r="J597">
        <v>0.85640127899999996</v>
      </c>
      <c r="K597">
        <f>IF(C597=C596,K596+1,1)</f>
        <v>1</v>
      </c>
      <c r="L597">
        <f>MIN(((374/K597)*I597),L598)</f>
        <v>37.886607286</v>
      </c>
      <c r="M597">
        <f>-LOG10(L597)</f>
        <v>-1.5784857163085262</v>
      </c>
    </row>
    <row r="598" spans="1:13" x14ac:dyDescent="0.2">
      <c r="A598" t="s">
        <v>304</v>
      </c>
      <c r="B598" t="s">
        <v>24</v>
      </c>
      <c r="C598" t="s">
        <v>25</v>
      </c>
      <c r="D598">
        <v>5.3792927999999997E-2</v>
      </c>
      <c r="E598" s="7">
        <f>ABS(D598)</f>
        <v>5.3792927999999997E-2</v>
      </c>
      <c r="F598">
        <v>0.157370538</v>
      </c>
      <c r="G598">
        <v>146</v>
      </c>
      <c r="H598">
        <v>37</v>
      </c>
      <c r="I598">
        <v>0.732985636</v>
      </c>
      <c r="J598">
        <v>0.92457547399999995</v>
      </c>
      <c r="K598">
        <f>IF(C598=C597,K597+1,1)</f>
        <v>1</v>
      </c>
      <c r="L598">
        <f>MIN(((374/K598)*I598),L599)</f>
        <v>37.886607286</v>
      </c>
      <c r="M598">
        <f>-LOG10(L598)</f>
        <v>-1.5784857163085262</v>
      </c>
    </row>
    <row r="599" spans="1:13" x14ac:dyDescent="0.2">
      <c r="A599" t="s">
        <v>373</v>
      </c>
      <c r="B599" t="s">
        <v>10</v>
      </c>
      <c r="C599" t="s">
        <v>11</v>
      </c>
      <c r="D599">
        <v>5.3283206999999999E-2</v>
      </c>
      <c r="E599" s="7">
        <f>ABS(D599)</f>
        <v>5.3283206999999999E-2</v>
      </c>
      <c r="F599">
        <v>0.21962290500000001</v>
      </c>
      <c r="G599">
        <v>146</v>
      </c>
      <c r="H599">
        <v>82</v>
      </c>
      <c r="I599">
        <v>0.80865341700000004</v>
      </c>
      <c r="J599">
        <v>0.94511368100000004</v>
      </c>
      <c r="K599">
        <f>IF(C599=C598,K598+1,1)</f>
        <v>1</v>
      </c>
      <c r="L599">
        <f>MIN(((374/K599)*I599),L600)</f>
        <v>37.886607286</v>
      </c>
      <c r="M599">
        <f>-LOG10(L599)</f>
        <v>-1.5784857163085262</v>
      </c>
    </row>
    <row r="600" spans="1:13" x14ac:dyDescent="0.2">
      <c r="A600" t="s">
        <v>301</v>
      </c>
      <c r="B600" t="s">
        <v>24</v>
      </c>
      <c r="C600" t="s">
        <v>25</v>
      </c>
      <c r="D600">
        <v>-5.2765250999999999E-2</v>
      </c>
      <c r="E600" s="7">
        <f>ABS(D600)</f>
        <v>5.2765250999999999E-2</v>
      </c>
      <c r="F600">
        <v>0.126957968</v>
      </c>
      <c r="G600">
        <v>146</v>
      </c>
      <c r="H600">
        <v>23</v>
      </c>
      <c r="I600">
        <v>0.67831695599999997</v>
      </c>
      <c r="J600">
        <v>0.90274859299999999</v>
      </c>
      <c r="K600">
        <f>IF(C600=C599,K599+1,1)</f>
        <v>1</v>
      </c>
      <c r="L600">
        <f>MIN(((374/K600)*I600),L601)</f>
        <v>37.886607286</v>
      </c>
      <c r="M600">
        <f>-LOG10(L600)</f>
        <v>-1.5784857163085262</v>
      </c>
    </row>
    <row r="601" spans="1:13" x14ac:dyDescent="0.2">
      <c r="A601" t="s">
        <v>342</v>
      </c>
      <c r="B601" t="s">
        <v>10</v>
      </c>
      <c r="C601" t="s">
        <v>11</v>
      </c>
      <c r="D601">
        <v>-5.2643005999999999E-2</v>
      </c>
      <c r="E601" s="7">
        <f>ABS(D601)</f>
        <v>5.2643005999999999E-2</v>
      </c>
      <c r="F601">
        <v>0.145119048</v>
      </c>
      <c r="G601">
        <v>146</v>
      </c>
      <c r="H601">
        <v>16</v>
      </c>
      <c r="I601">
        <v>0.71732174199999998</v>
      </c>
      <c r="J601">
        <v>0.91719087600000004</v>
      </c>
      <c r="K601">
        <f>IF(C601=C600,K600+1,1)</f>
        <v>1</v>
      </c>
      <c r="L601">
        <f>MIN(((374/K601)*I601),L602)</f>
        <v>37.886607286</v>
      </c>
      <c r="M601">
        <f>-LOG10(L601)</f>
        <v>-1.5784857163085262</v>
      </c>
    </row>
    <row r="602" spans="1:13" x14ac:dyDescent="0.2">
      <c r="A602" t="s">
        <v>307</v>
      </c>
      <c r="B602" t="s">
        <v>24</v>
      </c>
      <c r="C602" t="s">
        <v>25</v>
      </c>
      <c r="D602">
        <v>5.2570864000000002E-2</v>
      </c>
      <c r="E602" s="7">
        <f>ABS(D602)</f>
        <v>5.2570864000000002E-2</v>
      </c>
      <c r="F602">
        <v>0.24446338100000001</v>
      </c>
      <c r="G602">
        <v>146</v>
      </c>
      <c r="H602">
        <v>61</v>
      </c>
      <c r="I602">
        <v>0.83003786899999998</v>
      </c>
      <c r="J602">
        <v>0.95264123300000003</v>
      </c>
      <c r="K602">
        <f>IF(C602=C601,K601+1,1)</f>
        <v>1</v>
      </c>
      <c r="L602">
        <f>MIN(((374/K602)*I602),L603)</f>
        <v>37.886607286</v>
      </c>
      <c r="M602">
        <f>-LOG10(L602)</f>
        <v>-1.5784857163085262</v>
      </c>
    </row>
    <row r="603" spans="1:13" x14ac:dyDescent="0.2">
      <c r="A603" t="s">
        <v>379</v>
      </c>
      <c r="B603" t="s">
        <v>10</v>
      </c>
      <c r="C603" t="s">
        <v>11</v>
      </c>
      <c r="D603">
        <v>5.2516619E-2</v>
      </c>
      <c r="E603" s="7">
        <f>ABS(D603)</f>
        <v>5.2516619E-2</v>
      </c>
      <c r="F603">
        <v>0.26089583799999999</v>
      </c>
      <c r="G603">
        <v>146</v>
      </c>
      <c r="H603">
        <v>88</v>
      </c>
      <c r="I603">
        <v>0.84075518100000002</v>
      </c>
      <c r="J603">
        <v>0.95264123300000003</v>
      </c>
      <c r="K603">
        <f>IF(C603=C602,K602+1,1)</f>
        <v>1</v>
      </c>
      <c r="L603">
        <f>MIN(((374/K603)*I603),L604)</f>
        <v>37.886607286</v>
      </c>
      <c r="M603">
        <f>-LOG10(L603)</f>
        <v>-1.5784857163085262</v>
      </c>
    </row>
    <row r="604" spans="1:13" x14ac:dyDescent="0.2">
      <c r="A604" t="s">
        <v>264</v>
      </c>
      <c r="B604" t="s">
        <v>24</v>
      </c>
      <c r="C604" t="s">
        <v>25</v>
      </c>
      <c r="D604">
        <v>5.2384730999999997E-2</v>
      </c>
      <c r="E604" s="7">
        <f>ABS(D604)</f>
        <v>5.2384730999999997E-2</v>
      </c>
      <c r="F604">
        <v>7.9581048000000001E-2</v>
      </c>
      <c r="G604">
        <v>146</v>
      </c>
      <c r="H604">
        <v>15</v>
      </c>
      <c r="I604">
        <v>0.51143177200000001</v>
      </c>
      <c r="J604">
        <v>0.85640127899999996</v>
      </c>
      <c r="K604">
        <f>IF(C604=C603,K603+1,1)</f>
        <v>1</v>
      </c>
      <c r="L604">
        <f>MIN(((374/K604)*I604),L605)</f>
        <v>37.886607286</v>
      </c>
      <c r="M604">
        <f>-LOG10(L604)</f>
        <v>-1.5784857163085262</v>
      </c>
    </row>
    <row r="605" spans="1:13" x14ac:dyDescent="0.2">
      <c r="A605" t="s">
        <v>373</v>
      </c>
      <c r="B605" t="s">
        <v>24</v>
      </c>
      <c r="C605" t="s">
        <v>25</v>
      </c>
      <c r="D605">
        <v>-5.2361932999999999E-2</v>
      </c>
      <c r="E605" s="7">
        <f>ABS(D605)</f>
        <v>5.2361932999999999E-2</v>
      </c>
      <c r="F605">
        <v>0.20528506799999999</v>
      </c>
      <c r="G605">
        <v>146</v>
      </c>
      <c r="H605">
        <v>82</v>
      </c>
      <c r="I605">
        <v>0.79903599700000005</v>
      </c>
      <c r="J605">
        <v>0.94271123899999998</v>
      </c>
      <c r="K605">
        <f>IF(C605=C604,K604+1,1)</f>
        <v>2</v>
      </c>
      <c r="L605">
        <f>MIN(((374/K605)*I605),L606)</f>
        <v>37.886607286</v>
      </c>
      <c r="M605">
        <f>-LOG10(L605)</f>
        <v>-1.5784857163085262</v>
      </c>
    </row>
    <row r="606" spans="1:13" x14ac:dyDescent="0.2">
      <c r="A606" t="s">
        <v>358</v>
      </c>
      <c r="B606" t="s">
        <v>24</v>
      </c>
      <c r="C606" t="s">
        <v>25</v>
      </c>
      <c r="D606">
        <v>-5.2014617999999999E-2</v>
      </c>
      <c r="E606" s="7">
        <f>ABS(D606)</f>
        <v>5.2014617999999999E-2</v>
      </c>
      <c r="F606">
        <v>0.119203949</v>
      </c>
      <c r="G606">
        <v>146</v>
      </c>
      <c r="H606">
        <v>23</v>
      </c>
      <c r="I606">
        <v>0.66324104299999997</v>
      </c>
      <c r="J606">
        <v>0.90138136199999996</v>
      </c>
      <c r="K606">
        <f>IF(C606=C605,K605+1,1)</f>
        <v>3</v>
      </c>
      <c r="L606">
        <f>MIN(((374/K606)*I606),L607)</f>
        <v>37.886607286</v>
      </c>
      <c r="M606">
        <f>-LOG10(L606)</f>
        <v>-1.5784857163085262</v>
      </c>
    </row>
    <row r="607" spans="1:13" x14ac:dyDescent="0.2">
      <c r="A607" t="s">
        <v>355</v>
      </c>
      <c r="B607" t="s">
        <v>24</v>
      </c>
      <c r="C607" t="s">
        <v>25</v>
      </c>
      <c r="D607">
        <v>-5.1835537000000001E-2</v>
      </c>
      <c r="E607" s="7">
        <f>ABS(D607)</f>
        <v>5.1835537000000001E-2</v>
      </c>
      <c r="F607">
        <v>0.172889348</v>
      </c>
      <c r="G607">
        <v>146</v>
      </c>
      <c r="H607">
        <v>25</v>
      </c>
      <c r="I607">
        <v>0.76475047900000004</v>
      </c>
      <c r="J607">
        <v>0.93136349399999996</v>
      </c>
      <c r="K607">
        <f>IF(C607=C606,K606+1,1)</f>
        <v>4</v>
      </c>
      <c r="L607">
        <f>MIN(((374/K607)*I607),L608)</f>
        <v>37.886607286</v>
      </c>
      <c r="M607">
        <f>-LOG10(L607)</f>
        <v>-1.5784857163085262</v>
      </c>
    </row>
    <row r="608" spans="1:13" x14ac:dyDescent="0.2">
      <c r="A608" t="s">
        <v>310</v>
      </c>
      <c r="B608" t="s">
        <v>10</v>
      </c>
      <c r="C608" t="s">
        <v>11</v>
      </c>
      <c r="D608">
        <v>-5.1658120000000002E-2</v>
      </c>
      <c r="E608" s="7">
        <f>ABS(D608)</f>
        <v>5.1658120000000002E-2</v>
      </c>
      <c r="F608">
        <v>0.126489568</v>
      </c>
      <c r="G608">
        <v>146</v>
      </c>
      <c r="H608">
        <v>17</v>
      </c>
      <c r="I608">
        <v>0.68359220200000004</v>
      </c>
      <c r="J608">
        <v>0.90274859299999999</v>
      </c>
      <c r="K608">
        <f>IF(C608=C607,K607+1,1)</f>
        <v>1</v>
      </c>
      <c r="L608">
        <f>MIN(((374/K608)*I608),L609)</f>
        <v>37.886607286</v>
      </c>
      <c r="M608">
        <f>-LOG10(L608)</f>
        <v>-1.5784857163085262</v>
      </c>
    </row>
    <row r="609" spans="1:13" x14ac:dyDescent="0.2">
      <c r="A609" t="s">
        <v>374</v>
      </c>
      <c r="B609" t="s">
        <v>10</v>
      </c>
      <c r="C609" t="s">
        <v>11</v>
      </c>
      <c r="D609">
        <v>-5.1259447E-2</v>
      </c>
      <c r="E609" s="7">
        <f>ABS(D609)</f>
        <v>5.1259447E-2</v>
      </c>
      <c r="F609">
        <v>0.20559862700000001</v>
      </c>
      <c r="G609">
        <v>146</v>
      </c>
      <c r="H609">
        <v>24</v>
      </c>
      <c r="I609">
        <v>0.80347253500000004</v>
      </c>
      <c r="J609">
        <v>0.94430346899999995</v>
      </c>
      <c r="K609">
        <f>IF(C609=C608,K608+1,1)</f>
        <v>2</v>
      </c>
      <c r="L609">
        <f>MIN(((374/K609)*I609),L610)</f>
        <v>37.886607286</v>
      </c>
      <c r="M609">
        <f>-LOG10(L609)</f>
        <v>-1.5784857163085262</v>
      </c>
    </row>
    <row r="610" spans="1:13" x14ac:dyDescent="0.2">
      <c r="A610" t="s">
        <v>368</v>
      </c>
      <c r="B610" t="s">
        <v>10</v>
      </c>
      <c r="C610" t="s">
        <v>11</v>
      </c>
      <c r="D610">
        <v>5.0483856000000001E-2</v>
      </c>
      <c r="E610" s="7">
        <f>ABS(D610)</f>
        <v>5.0483856000000001E-2</v>
      </c>
      <c r="F610">
        <v>0.160401556</v>
      </c>
      <c r="G610">
        <v>146</v>
      </c>
      <c r="H610">
        <v>28</v>
      </c>
      <c r="I610">
        <v>0.75342223100000005</v>
      </c>
      <c r="J610">
        <v>0.92955169699999995</v>
      </c>
      <c r="K610">
        <f>IF(C610=C609,K609+1,1)</f>
        <v>3</v>
      </c>
      <c r="L610">
        <f>MIN(((374/K610)*I610),L611)</f>
        <v>37.886607286</v>
      </c>
      <c r="M610">
        <f>-LOG10(L610)</f>
        <v>-1.5784857163085262</v>
      </c>
    </row>
    <row r="611" spans="1:13" x14ac:dyDescent="0.2">
      <c r="A611" t="s">
        <v>341</v>
      </c>
      <c r="B611" t="s">
        <v>24</v>
      </c>
      <c r="C611" t="s">
        <v>25</v>
      </c>
      <c r="D611">
        <v>-5.0001641999999999E-2</v>
      </c>
      <c r="E611" s="7">
        <f>ABS(D611)</f>
        <v>5.0001641999999999E-2</v>
      </c>
      <c r="F611">
        <v>0.112427099</v>
      </c>
      <c r="G611">
        <v>146</v>
      </c>
      <c r="H611">
        <v>18</v>
      </c>
      <c r="I611">
        <v>0.65717484500000001</v>
      </c>
      <c r="J611">
        <v>0.89960398799999997</v>
      </c>
      <c r="K611">
        <f>IF(C611=C610,K610+1,1)</f>
        <v>1</v>
      </c>
      <c r="L611">
        <f>MIN(((374/K611)*I611),L612)</f>
        <v>37.886607286</v>
      </c>
      <c r="M611">
        <f>-LOG10(L611)</f>
        <v>-1.5784857163085262</v>
      </c>
    </row>
    <row r="612" spans="1:13" x14ac:dyDescent="0.2">
      <c r="A612" t="s">
        <v>325</v>
      </c>
      <c r="B612" t="s">
        <v>24</v>
      </c>
      <c r="C612" t="s">
        <v>25</v>
      </c>
      <c r="D612">
        <v>4.9734160999999999E-2</v>
      </c>
      <c r="E612" s="7">
        <f>ABS(D612)</f>
        <v>4.9734160999999999E-2</v>
      </c>
      <c r="F612">
        <v>8.2476158999999993E-2</v>
      </c>
      <c r="G612">
        <v>146</v>
      </c>
      <c r="H612">
        <v>15</v>
      </c>
      <c r="I612">
        <v>0.54745549999999998</v>
      </c>
      <c r="J612">
        <v>0.85640127899999996</v>
      </c>
      <c r="K612">
        <f>IF(C612=C611,K611+1,1)</f>
        <v>2</v>
      </c>
      <c r="L612">
        <f>MIN(((374/K612)*I612),L613)</f>
        <v>37.886607286</v>
      </c>
      <c r="M612">
        <f>-LOG10(L612)</f>
        <v>-1.5784857163085262</v>
      </c>
    </row>
    <row r="613" spans="1:13" x14ac:dyDescent="0.2">
      <c r="A613" t="s">
        <v>377</v>
      </c>
      <c r="B613" t="s">
        <v>24</v>
      </c>
      <c r="C613" t="s">
        <v>25</v>
      </c>
      <c r="D613">
        <v>4.9124425999999999E-2</v>
      </c>
      <c r="E613" s="7">
        <f>ABS(D613)</f>
        <v>4.9124425999999999E-2</v>
      </c>
      <c r="F613">
        <v>0.24395164</v>
      </c>
      <c r="G613">
        <v>146</v>
      </c>
      <c r="H613">
        <v>23</v>
      </c>
      <c r="I613">
        <v>0.84069579699999997</v>
      </c>
      <c r="J613">
        <v>0.95264123300000003</v>
      </c>
      <c r="K613">
        <f>IF(C613=C612,K612+1,1)</f>
        <v>3</v>
      </c>
      <c r="L613">
        <f>MIN(((374/K613)*I613),L614)</f>
        <v>37.886607286</v>
      </c>
      <c r="M613">
        <f>-LOG10(L613)</f>
        <v>-1.5784857163085262</v>
      </c>
    </row>
    <row r="614" spans="1:13" x14ac:dyDescent="0.2">
      <c r="A614" t="s">
        <v>319</v>
      </c>
      <c r="B614" t="s">
        <v>10</v>
      </c>
      <c r="C614" t="s">
        <v>11</v>
      </c>
      <c r="D614">
        <v>-4.9058450000000003E-2</v>
      </c>
      <c r="E614" s="7">
        <f>ABS(D614)</f>
        <v>4.9058450000000003E-2</v>
      </c>
      <c r="F614">
        <v>0.18287762199999999</v>
      </c>
      <c r="G614">
        <v>146</v>
      </c>
      <c r="H614">
        <v>31</v>
      </c>
      <c r="I614">
        <v>0.78888704600000004</v>
      </c>
      <c r="J614">
        <v>0.93799408799999995</v>
      </c>
      <c r="K614">
        <f>IF(C614=C613,K613+1,1)</f>
        <v>1</v>
      </c>
      <c r="L614">
        <f>MIN(((374/K614)*I614),L615)</f>
        <v>37.886607286</v>
      </c>
      <c r="M614">
        <f>-LOG10(L614)</f>
        <v>-1.5784857163085262</v>
      </c>
    </row>
    <row r="615" spans="1:13" x14ac:dyDescent="0.2">
      <c r="A615" t="s">
        <v>291</v>
      </c>
      <c r="B615" t="s">
        <v>10</v>
      </c>
      <c r="C615" t="s">
        <v>11</v>
      </c>
      <c r="D615">
        <v>4.8745374000000001E-2</v>
      </c>
      <c r="E615" s="7">
        <f>ABS(D615)</f>
        <v>4.8745374000000001E-2</v>
      </c>
      <c r="F615">
        <v>8.4190741999999999E-2</v>
      </c>
      <c r="G615">
        <v>146</v>
      </c>
      <c r="H615">
        <v>17</v>
      </c>
      <c r="I615">
        <v>0.563508601</v>
      </c>
      <c r="J615">
        <v>0.85640127899999996</v>
      </c>
      <c r="K615">
        <f>IF(C615=C614,K614+1,1)</f>
        <v>2</v>
      </c>
      <c r="L615">
        <f>MIN(((374/K615)*I615),L616)</f>
        <v>37.886607286</v>
      </c>
      <c r="M615">
        <f>-LOG10(L615)</f>
        <v>-1.5784857163085262</v>
      </c>
    </row>
    <row r="616" spans="1:13" x14ac:dyDescent="0.2">
      <c r="A616" t="s">
        <v>57</v>
      </c>
      <c r="B616" t="s">
        <v>24</v>
      </c>
      <c r="C616" t="s">
        <v>25</v>
      </c>
      <c r="D616">
        <v>-4.8455076E-2</v>
      </c>
      <c r="E616" s="7">
        <f>ABS(D616)</f>
        <v>4.8455076E-2</v>
      </c>
      <c r="F616">
        <v>0.160071295</v>
      </c>
      <c r="G616">
        <v>146</v>
      </c>
      <c r="H616">
        <v>36</v>
      </c>
      <c r="I616">
        <v>0.76255126500000003</v>
      </c>
      <c r="J616">
        <v>0.93048669900000003</v>
      </c>
      <c r="K616">
        <f>IF(C616=C615,K615+1,1)</f>
        <v>1</v>
      </c>
      <c r="L616">
        <f>MIN(((374/K616)*I616),L617)</f>
        <v>37.886607286</v>
      </c>
      <c r="M616">
        <f>-LOG10(L616)</f>
        <v>-1.5784857163085262</v>
      </c>
    </row>
    <row r="617" spans="1:13" x14ac:dyDescent="0.2">
      <c r="A617" t="s">
        <v>157</v>
      </c>
      <c r="B617" t="s">
        <v>24</v>
      </c>
      <c r="C617" t="s">
        <v>25</v>
      </c>
      <c r="D617">
        <v>4.8222596E-2</v>
      </c>
      <c r="E617" s="7">
        <f>ABS(D617)</f>
        <v>4.8222596E-2</v>
      </c>
      <c r="F617">
        <v>0.107715768</v>
      </c>
      <c r="G617">
        <v>146</v>
      </c>
      <c r="H617">
        <v>16</v>
      </c>
      <c r="I617">
        <v>0.65505891500000002</v>
      </c>
      <c r="J617">
        <v>0.89960398799999997</v>
      </c>
      <c r="K617">
        <f>IF(C617=C616,K616+1,1)</f>
        <v>2</v>
      </c>
      <c r="L617">
        <f>MIN(((374/K617)*I617),L618)</f>
        <v>37.886607286</v>
      </c>
      <c r="M617">
        <f>-LOG10(L617)</f>
        <v>-1.5784857163085262</v>
      </c>
    </row>
    <row r="618" spans="1:13" x14ac:dyDescent="0.2">
      <c r="A618" t="s">
        <v>230</v>
      </c>
      <c r="B618" t="s">
        <v>10</v>
      </c>
      <c r="C618" t="s">
        <v>11</v>
      </c>
      <c r="D618">
        <v>-4.7960590999999997E-2</v>
      </c>
      <c r="E618" s="7">
        <f>ABS(D618)</f>
        <v>4.7960590999999997E-2</v>
      </c>
      <c r="F618">
        <v>0.146707961</v>
      </c>
      <c r="G618">
        <v>146</v>
      </c>
      <c r="H618">
        <v>30</v>
      </c>
      <c r="I618">
        <v>0.74421247599999996</v>
      </c>
      <c r="J618">
        <v>0.92778488599999998</v>
      </c>
      <c r="K618">
        <f>IF(C618=C617,K617+1,1)</f>
        <v>1</v>
      </c>
      <c r="L618">
        <f>MIN(((374/K618)*I618),L619)</f>
        <v>37.886607286</v>
      </c>
      <c r="M618">
        <f>-LOG10(L618)</f>
        <v>-1.5784857163085262</v>
      </c>
    </row>
    <row r="619" spans="1:13" x14ac:dyDescent="0.2">
      <c r="A619" t="s">
        <v>166</v>
      </c>
      <c r="B619" t="s">
        <v>24</v>
      </c>
      <c r="C619" t="s">
        <v>25</v>
      </c>
      <c r="D619">
        <v>-4.7820990000000001E-2</v>
      </c>
      <c r="E619" s="7">
        <f>ABS(D619)</f>
        <v>4.7820990000000001E-2</v>
      </c>
      <c r="F619">
        <v>0.156957184</v>
      </c>
      <c r="G619">
        <v>146</v>
      </c>
      <c r="H619">
        <v>28</v>
      </c>
      <c r="I619">
        <v>0.76105636300000001</v>
      </c>
      <c r="J619">
        <v>0.93017999900000004</v>
      </c>
      <c r="K619">
        <f>IF(C619=C618,K618+1,1)</f>
        <v>1</v>
      </c>
      <c r="L619">
        <f>MIN(((374/K619)*I619),L620)</f>
        <v>37.886607286</v>
      </c>
      <c r="M619">
        <f>-LOG10(L619)</f>
        <v>-1.5784857163085262</v>
      </c>
    </row>
    <row r="620" spans="1:13" x14ac:dyDescent="0.2">
      <c r="A620" t="s">
        <v>30</v>
      </c>
      <c r="B620" t="s">
        <v>24</v>
      </c>
      <c r="C620" t="s">
        <v>25</v>
      </c>
      <c r="D620">
        <v>4.7812514E-2</v>
      </c>
      <c r="E620" s="7">
        <f>ABS(D620)</f>
        <v>4.7812514E-2</v>
      </c>
      <c r="F620">
        <v>0.12475073</v>
      </c>
      <c r="G620">
        <v>146</v>
      </c>
      <c r="H620">
        <v>20</v>
      </c>
      <c r="I620">
        <v>0.702092893</v>
      </c>
      <c r="J620">
        <v>0.91333127700000005</v>
      </c>
      <c r="K620">
        <f>IF(C620=C619,K619+1,1)</f>
        <v>2</v>
      </c>
      <c r="L620">
        <f>MIN(((374/K620)*I620),L621)</f>
        <v>37.886607286</v>
      </c>
      <c r="M620">
        <f>-LOG10(L620)</f>
        <v>-1.5784857163085262</v>
      </c>
    </row>
    <row r="621" spans="1:13" x14ac:dyDescent="0.2">
      <c r="A621" t="s">
        <v>209</v>
      </c>
      <c r="B621" t="s">
        <v>10</v>
      </c>
      <c r="C621" t="s">
        <v>11</v>
      </c>
      <c r="D621">
        <v>4.7764824999999997E-2</v>
      </c>
      <c r="E621" s="7">
        <f>ABS(D621)</f>
        <v>4.7764824999999997E-2</v>
      </c>
      <c r="F621">
        <v>0.12854106400000001</v>
      </c>
      <c r="G621">
        <v>146</v>
      </c>
      <c r="H621">
        <v>23</v>
      </c>
      <c r="I621">
        <v>0.71074669300000004</v>
      </c>
      <c r="J621">
        <v>0.91358856600000005</v>
      </c>
      <c r="K621">
        <f>IF(C621=C620,K620+1,1)</f>
        <v>1</v>
      </c>
      <c r="L621">
        <f>MIN(((374/K621)*I621),L622)</f>
        <v>37.886607286</v>
      </c>
      <c r="M621">
        <f>-LOG10(L621)</f>
        <v>-1.5784857163085262</v>
      </c>
    </row>
    <row r="622" spans="1:13" x14ac:dyDescent="0.2">
      <c r="A622" t="s">
        <v>313</v>
      </c>
      <c r="B622" t="s">
        <v>10</v>
      </c>
      <c r="C622" t="s">
        <v>11</v>
      </c>
      <c r="D622">
        <v>4.7631865000000002E-2</v>
      </c>
      <c r="E622" s="7">
        <f>ABS(D622)</f>
        <v>4.7631865000000002E-2</v>
      </c>
      <c r="F622">
        <v>0.118194349</v>
      </c>
      <c r="G622">
        <v>146</v>
      </c>
      <c r="H622">
        <v>22</v>
      </c>
      <c r="I622">
        <v>0.68755293699999998</v>
      </c>
      <c r="J622">
        <v>0.90366113299999995</v>
      </c>
      <c r="K622">
        <f>IF(C622=C621,K621+1,1)</f>
        <v>2</v>
      </c>
      <c r="L622">
        <f>MIN(((374/K622)*I622),L623)</f>
        <v>37.886607286</v>
      </c>
      <c r="M622">
        <f>-LOG10(L622)</f>
        <v>-1.5784857163085262</v>
      </c>
    </row>
    <row r="623" spans="1:13" x14ac:dyDescent="0.2">
      <c r="A623" t="s">
        <v>361</v>
      </c>
      <c r="B623" t="s">
        <v>10</v>
      </c>
      <c r="C623" t="s">
        <v>11</v>
      </c>
      <c r="D623">
        <v>4.7586934999999997E-2</v>
      </c>
      <c r="E623" s="7">
        <f>ABS(D623)</f>
        <v>4.7586934999999997E-2</v>
      </c>
      <c r="F623">
        <v>0.145524021</v>
      </c>
      <c r="G623">
        <v>146</v>
      </c>
      <c r="H623">
        <v>27</v>
      </c>
      <c r="I623">
        <v>0.74414304200000003</v>
      </c>
      <c r="J623">
        <v>0.92778488599999998</v>
      </c>
      <c r="K623">
        <f>IF(C623=C622,K622+1,1)</f>
        <v>3</v>
      </c>
      <c r="L623">
        <f>MIN(((374/K623)*I623),L624)</f>
        <v>37.886607286</v>
      </c>
      <c r="M623">
        <f>-LOG10(L623)</f>
        <v>-1.5784857163085262</v>
      </c>
    </row>
    <row r="624" spans="1:13" x14ac:dyDescent="0.2">
      <c r="A624" t="s">
        <v>260</v>
      </c>
      <c r="B624" t="s">
        <v>24</v>
      </c>
      <c r="C624" t="s">
        <v>25</v>
      </c>
      <c r="D624">
        <v>-4.7325735000000001E-2</v>
      </c>
      <c r="E624" s="7">
        <f>ABS(D624)</f>
        <v>4.7325735000000001E-2</v>
      </c>
      <c r="F624">
        <v>0.263225814</v>
      </c>
      <c r="G624">
        <v>146</v>
      </c>
      <c r="H624">
        <v>96</v>
      </c>
      <c r="I624">
        <v>0.85757086000000005</v>
      </c>
      <c r="J624">
        <v>0.95455804099999997</v>
      </c>
      <c r="K624">
        <f>IF(C624=C623,K623+1,1)</f>
        <v>1</v>
      </c>
      <c r="L624">
        <f>MIN(((374/K624)*I624),L625)</f>
        <v>37.886607286</v>
      </c>
      <c r="M624">
        <f>-LOG10(L624)</f>
        <v>-1.5784857163085262</v>
      </c>
    </row>
    <row r="625" spans="1:13" x14ac:dyDescent="0.2">
      <c r="A625" t="s">
        <v>144</v>
      </c>
      <c r="B625" t="s">
        <v>10</v>
      </c>
      <c r="C625" t="s">
        <v>11</v>
      </c>
      <c r="D625">
        <v>-4.7149262999999997E-2</v>
      </c>
      <c r="E625" s="7">
        <f>ABS(D625)</f>
        <v>4.7149262999999997E-2</v>
      </c>
      <c r="F625">
        <v>0.17934203300000001</v>
      </c>
      <c r="G625">
        <v>146</v>
      </c>
      <c r="H625">
        <v>36</v>
      </c>
      <c r="I625">
        <v>0.79300501400000001</v>
      </c>
      <c r="J625">
        <v>0.93855656700000001</v>
      </c>
      <c r="K625">
        <f>IF(C625=C624,K624+1,1)</f>
        <v>1</v>
      </c>
      <c r="L625">
        <f>MIN(((374/K625)*I625),L626)</f>
        <v>37.886607286</v>
      </c>
      <c r="M625">
        <f>-LOG10(L625)</f>
        <v>-1.5784857163085262</v>
      </c>
    </row>
    <row r="626" spans="1:13" x14ac:dyDescent="0.2">
      <c r="A626" t="s">
        <v>225</v>
      </c>
      <c r="B626" t="s">
        <v>24</v>
      </c>
      <c r="C626" t="s">
        <v>25</v>
      </c>
      <c r="D626">
        <v>4.7066032000000001E-2</v>
      </c>
      <c r="E626" s="7">
        <f>ABS(D626)</f>
        <v>4.7066032000000001E-2</v>
      </c>
      <c r="F626">
        <v>0.22672822000000001</v>
      </c>
      <c r="G626">
        <v>146</v>
      </c>
      <c r="H626">
        <v>57</v>
      </c>
      <c r="I626">
        <v>0.83584609899999995</v>
      </c>
      <c r="J626">
        <v>0.95264123300000003</v>
      </c>
      <c r="K626">
        <f>IF(C626=C625,K625+1,1)</f>
        <v>1</v>
      </c>
      <c r="L626">
        <f>MIN(((374/K626)*I626),L627)</f>
        <v>37.886607286</v>
      </c>
      <c r="M626">
        <f>-LOG10(L626)</f>
        <v>-1.5784857163085262</v>
      </c>
    </row>
    <row r="627" spans="1:13" x14ac:dyDescent="0.2">
      <c r="A627" t="s">
        <v>193</v>
      </c>
      <c r="B627" t="s">
        <v>10</v>
      </c>
      <c r="C627" t="s">
        <v>11</v>
      </c>
      <c r="D627">
        <v>-4.7020381E-2</v>
      </c>
      <c r="E627" s="7">
        <f>ABS(D627)</f>
        <v>4.7020381E-2</v>
      </c>
      <c r="F627">
        <v>0.16642504599999999</v>
      </c>
      <c r="G627">
        <v>146</v>
      </c>
      <c r="H627">
        <v>53</v>
      </c>
      <c r="I627">
        <v>0.77794423599999996</v>
      </c>
      <c r="J627">
        <v>0.93579157999999996</v>
      </c>
      <c r="K627">
        <f>IF(C627=C626,K626+1,1)</f>
        <v>1</v>
      </c>
      <c r="L627">
        <f>MIN(((374/K627)*I627),L628)</f>
        <v>37.886607286</v>
      </c>
      <c r="M627">
        <f>-LOG10(L627)</f>
        <v>-1.5784857163085262</v>
      </c>
    </row>
    <row r="628" spans="1:13" x14ac:dyDescent="0.2">
      <c r="A628" t="s">
        <v>366</v>
      </c>
      <c r="B628" t="s">
        <v>10</v>
      </c>
      <c r="C628" t="s">
        <v>11</v>
      </c>
      <c r="D628">
        <v>-4.7006655000000001E-2</v>
      </c>
      <c r="E628" s="7">
        <f>ABS(D628)</f>
        <v>4.7006655000000001E-2</v>
      </c>
      <c r="F628">
        <v>0.14365947400000001</v>
      </c>
      <c r="G628">
        <v>146</v>
      </c>
      <c r="H628">
        <v>33</v>
      </c>
      <c r="I628">
        <v>0.74398840399999999</v>
      </c>
      <c r="J628">
        <v>0.92778488599999998</v>
      </c>
      <c r="K628">
        <f>IF(C628=C627,K627+1,1)</f>
        <v>2</v>
      </c>
      <c r="L628">
        <f>MIN(((374/K628)*I628),L629)</f>
        <v>37.886607286</v>
      </c>
      <c r="M628">
        <f>-LOG10(L628)</f>
        <v>-1.5784857163085262</v>
      </c>
    </row>
    <row r="629" spans="1:13" x14ac:dyDescent="0.2">
      <c r="A629" t="s">
        <v>322</v>
      </c>
      <c r="B629" t="s">
        <v>10</v>
      </c>
      <c r="C629" t="s">
        <v>11</v>
      </c>
      <c r="D629">
        <v>4.6861987000000001E-2</v>
      </c>
      <c r="E629" s="7">
        <f>ABS(D629)</f>
        <v>4.6861987000000001E-2</v>
      </c>
      <c r="F629">
        <v>0.35704603000000001</v>
      </c>
      <c r="G629">
        <v>146</v>
      </c>
      <c r="H629">
        <v>96</v>
      </c>
      <c r="I629">
        <v>0.89576268999999997</v>
      </c>
      <c r="J629">
        <v>0.96407265099999995</v>
      </c>
      <c r="K629">
        <f>IF(C629=C628,K628+1,1)</f>
        <v>3</v>
      </c>
      <c r="L629">
        <f>MIN(((374/K629)*I629),L630)</f>
        <v>37.886607286</v>
      </c>
      <c r="M629">
        <f>-LOG10(L629)</f>
        <v>-1.5784857163085262</v>
      </c>
    </row>
    <row r="630" spans="1:13" x14ac:dyDescent="0.2">
      <c r="A630" t="s">
        <v>331</v>
      </c>
      <c r="B630" t="s">
        <v>10</v>
      </c>
      <c r="C630" t="s">
        <v>11</v>
      </c>
      <c r="D630">
        <v>-4.6728256000000003E-2</v>
      </c>
      <c r="E630" s="7">
        <f>ABS(D630)</f>
        <v>4.6728256000000003E-2</v>
      </c>
      <c r="F630">
        <v>7.9132124999999998E-2</v>
      </c>
      <c r="G630">
        <v>146</v>
      </c>
      <c r="H630">
        <v>15</v>
      </c>
      <c r="I630">
        <v>0.55578132599999996</v>
      </c>
      <c r="J630">
        <v>0.85640127899999996</v>
      </c>
      <c r="K630">
        <f>IF(C630=C629,K629+1,1)</f>
        <v>4</v>
      </c>
      <c r="L630">
        <f>MIN(((374/K630)*I630),L631)</f>
        <v>37.886607286</v>
      </c>
      <c r="M630">
        <f>-LOG10(L630)</f>
        <v>-1.5784857163085262</v>
      </c>
    </row>
    <row r="631" spans="1:13" x14ac:dyDescent="0.2">
      <c r="A631" t="s">
        <v>268</v>
      </c>
      <c r="B631" t="s">
        <v>10</v>
      </c>
      <c r="C631" t="s">
        <v>11</v>
      </c>
      <c r="D631">
        <v>4.6259005999999998E-2</v>
      </c>
      <c r="E631" s="7">
        <f>ABS(D631)</f>
        <v>4.6259005999999998E-2</v>
      </c>
      <c r="F631">
        <v>0.145408025</v>
      </c>
      <c r="G631">
        <v>146</v>
      </c>
      <c r="H631">
        <v>29</v>
      </c>
      <c r="I631">
        <v>0.75084861599999997</v>
      </c>
      <c r="J631">
        <v>0.92955169699999995</v>
      </c>
      <c r="K631">
        <f>IF(C631=C630,K630+1,1)</f>
        <v>5</v>
      </c>
      <c r="L631">
        <f>MIN(((374/K631)*I631),L632)</f>
        <v>37.886607286</v>
      </c>
      <c r="M631">
        <f>-LOG10(L631)</f>
        <v>-1.5784857163085262</v>
      </c>
    </row>
    <row r="632" spans="1:13" x14ac:dyDescent="0.2">
      <c r="A632" t="s">
        <v>56</v>
      </c>
      <c r="B632" t="s">
        <v>24</v>
      </c>
      <c r="C632" t="s">
        <v>25</v>
      </c>
      <c r="D632">
        <v>4.6187705000000003E-2</v>
      </c>
      <c r="E632" s="7">
        <f>ABS(D632)</f>
        <v>4.6187705000000003E-2</v>
      </c>
      <c r="F632">
        <v>0.23445882500000001</v>
      </c>
      <c r="G632">
        <v>146</v>
      </c>
      <c r="H632">
        <v>53</v>
      </c>
      <c r="I632">
        <v>0.84410953499999997</v>
      </c>
      <c r="J632">
        <v>0.95264123300000003</v>
      </c>
      <c r="K632">
        <f>IF(C632=C631,K631+1,1)</f>
        <v>1</v>
      </c>
      <c r="L632">
        <f>MIN(((374/K632)*I632),L633)</f>
        <v>37.886607286</v>
      </c>
      <c r="M632">
        <f>-LOG10(L632)</f>
        <v>-1.5784857163085262</v>
      </c>
    </row>
    <row r="633" spans="1:13" x14ac:dyDescent="0.2">
      <c r="A633" t="s">
        <v>202</v>
      </c>
      <c r="B633" t="s">
        <v>24</v>
      </c>
      <c r="C633" t="s">
        <v>25</v>
      </c>
      <c r="D633">
        <v>-4.5225456999999997E-2</v>
      </c>
      <c r="E633" s="7">
        <f>ABS(D633)</f>
        <v>4.5225456999999997E-2</v>
      </c>
      <c r="F633">
        <v>0.21490957199999999</v>
      </c>
      <c r="G633">
        <v>146</v>
      </c>
      <c r="H633">
        <v>54</v>
      </c>
      <c r="I633">
        <v>0.83362424300000004</v>
      </c>
      <c r="J633">
        <v>0.95264123300000003</v>
      </c>
      <c r="K633">
        <f>IF(C633=C632,K632+1,1)</f>
        <v>2</v>
      </c>
      <c r="L633">
        <f>MIN(((374/K633)*I633),L634)</f>
        <v>37.886607286</v>
      </c>
      <c r="M633">
        <f>-LOG10(L633)</f>
        <v>-1.5784857163085262</v>
      </c>
    </row>
    <row r="634" spans="1:13" x14ac:dyDescent="0.2">
      <c r="A634" t="s">
        <v>286</v>
      </c>
      <c r="B634" t="s">
        <v>10</v>
      </c>
      <c r="C634" t="s">
        <v>11</v>
      </c>
      <c r="D634">
        <v>-4.4687096000000003E-2</v>
      </c>
      <c r="E634" s="7">
        <f>ABS(D634)</f>
        <v>4.4687096000000003E-2</v>
      </c>
      <c r="F634">
        <v>0.36269182999999999</v>
      </c>
      <c r="G634">
        <v>146</v>
      </c>
      <c r="H634">
        <v>55</v>
      </c>
      <c r="I634">
        <v>0.90211416600000005</v>
      </c>
      <c r="J634">
        <v>0.965352498</v>
      </c>
      <c r="K634">
        <f>IF(C634=C633,K633+1,1)</f>
        <v>1</v>
      </c>
      <c r="L634">
        <f>MIN(((374/K634)*I634),L635)</f>
        <v>37.886607286</v>
      </c>
      <c r="M634">
        <f>-LOG10(L634)</f>
        <v>-1.5784857163085262</v>
      </c>
    </row>
    <row r="635" spans="1:13" x14ac:dyDescent="0.2">
      <c r="A635" t="s">
        <v>298</v>
      </c>
      <c r="B635" t="s">
        <v>24</v>
      </c>
      <c r="C635" t="s">
        <v>25</v>
      </c>
      <c r="D635">
        <v>-4.4628533999999997E-2</v>
      </c>
      <c r="E635" s="7">
        <f>ABS(D635)</f>
        <v>4.4628533999999997E-2</v>
      </c>
      <c r="F635">
        <v>0.134234044</v>
      </c>
      <c r="G635">
        <v>146</v>
      </c>
      <c r="H635">
        <v>15</v>
      </c>
      <c r="I635">
        <v>0.74002270599999997</v>
      </c>
      <c r="J635">
        <v>0.92719762800000005</v>
      </c>
      <c r="K635">
        <f>IF(C635=C634,K634+1,1)</f>
        <v>1</v>
      </c>
      <c r="L635">
        <f>MIN(((374/K635)*I635),L636)</f>
        <v>37.886607286</v>
      </c>
      <c r="M635">
        <f>-LOG10(L635)</f>
        <v>-1.5784857163085262</v>
      </c>
    </row>
    <row r="636" spans="1:13" x14ac:dyDescent="0.2">
      <c r="A636" t="s">
        <v>378</v>
      </c>
      <c r="B636" t="s">
        <v>10</v>
      </c>
      <c r="C636" t="s">
        <v>11</v>
      </c>
      <c r="D636">
        <v>-4.4434045999999998E-2</v>
      </c>
      <c r="E636" s="7">
        <f>ABS(D636)</f>
        <v>4.4434045999999998E-2</v>
      </c>
      <c r="F636">
        <v>0.215543604</v>
      </c>
      <c r="G636">
        <v>146</v>
      </c>
      <c r="H636">
        <v>94</v>
      </c>
      <c r="I636">
        <v>0.836967923</v>
      </c>
      <c r="J636">
        <v>0.95264123300000003</v>
      </c>
      <c r="K636">
        <f>IF(C636=C635,K635+1,1)</f>
        <v>1</v>
      </c>
      <c r="L636">
        <f>MIN(((374/K636)*I636),L637)</f>
        <v>37.886607286</v>
      </c>
      <c r="M636">
        <f>-LOG10(L636)</f>
        <v>-1.5784857163085262</v>
      </c>
    </row>
    <row r="637" spans="1:13" x14ac:dyDescent="0.2">
      <c r="A637" t="s">
        <v>371</v>
      </c>
      <c r="B637" t="s">
        <v>24</v>
      </c>
      <c r="C637" t="s">
        <v>25</v>
      </c>
      <c r="D637">
        <v>4.4057828E-2</v>
      </c>
      <c r="E637" s="7">
        <f>ABS(D637)</f>
        <v>4.4057828E-2</v>
      </c>
      <c r="F637">
        <v>0.26188578200000001</v>
      </c>
      <c r="G637">
        <v>146</v>
      </c>
      <c r="H637">
        <v>33</v>
      </c>
      <c r="I637">
        <v>0.86663769400000001</v>
      </c>
      <c r="J637">
        <v>0.95802849999999995</v>
      </c>
      <c r="K637">
        <f>IF(C637=C636,K636+1,1)</f>
        <v>1</v>
      </c>
      <c r="L637">
        <f>MIN(((374/K637)*I637),L638)</f>
        <v>37.886607286</v>
      </c>
      <c r="M637">
        <f>-LOG10(L637)</f>
        <v>-1.5784857163085262</v>
      </c>
    </row>
    <row r="638" spans="1:13" x14ac:dyDescent="0.2">
      <c r="A638" t="s">
        <v>120</v>
      </c>
      <c r="B638" t="s">
        <v>24</v>
      </c>
      <c r="C638" t="s">
        <v>25</v>
      </c>
      <c r="D638">
        <v>-4.3851343000000001E-2</v>
      </c>
      <c r="E638" s="7">
        <f>ABS(D638)</f>
        <v>4.3851343000000001E-2</v>
      </c>
      <c r="F638">
        <v>0.10768591299999999</v>
      </c>
      <c r="G638">
        <v>146</v>
      </c>
      <c r="H638">
        <v>19</v>
      </c>
      <c r="I638">
        <v>0.68445883299999999</v>
      </c>
      <c r="J638">
        <v>0.90274859299999999</v>
      </c>
      <c r="K638">
        <f>IF(C638=C637,K637+1,1)</f>
        <v>2</v>
      </c>
      <c r="L638">
        <f>MIN(((374/K638)*I638),L639)</f>
        <v>37.886607286</v>
      </c>
      <c r="M638">
        <f>-LOG10(L638)</f>
        <v>-1.5784857163085262</v>
      </c>
    </row>
    <row r="639" spans="1:13" x14ac:dyDescent="0.2">
      <c r="A639" t="s">
        <v>177</v>
      </c>
      <c r="B639" t="s">
        <v>24</v>
      </c>
      <c r="C639" t="s">
        <v>25</v>
      </c>
      <c r="D639">
        <v>4.3754504E-2</v>
      </c>
      <c r="E639" s="7">
        <f>ABS(D639)</f>
        <v>4.3754504E-2</v>
      </c>
      <c r="F639">
        <v>0.20156574999999999</v>
      </c>
      <c r="G639">
        <v>146</v>
      </c>
      <c r="H639">
        <v>49</v>
      </c>
      <c r="I639">
        <v>0.82846077100000004</v>
      </c>
      <c r="J639">
        <v>0.95264123300000003</v>
      </c>
      <c r="K639">
        <f>IF(C639=C638,K638+1,1)</f>
        <v>3</v>
      </c>
      <c r="L639">
        <f>MIN(((374/K639)*I639),L640)</f>
        <v>37.886607286</v>
      </c>
      <c r="M639">
        <f>-LOG10(L639)</f>
        <v>-1.5784857163085262</v>
      </c>
    </row>
    <row r="640" spans="1:13" x14ac:dyDescent="0.2">
      <c r="A640" t="s">
        <v>87</v>
      </c>
      <c r="B640" t="s">
        <v>24</v>
      </c>
      <c r="C640" t="s">
        <v>25</v>
      </c>
      <c r="D640">
        <v>4.3194549999999998E-2</v>
      </c>
      <c r="E640" s="7">
        <f>ABS(D640)</f>
        <v>4.3194549999999998E-2</v>
      </c>
      <c r="F640">
        <v>0.21827307900000001</v>
      </c>
      <c r="G640">
        <v>146</v>
      </c>
      <c r="H640">
        <v>56</v>
      </c>
      <c r="I640">
        <v>0.84341040499999997</v>
      </c>
      <c r="J640">
        <v>0.95264123300000003</v>
      </c>
      <c r="K640">
        <f>IF(C640=C639,K639+1,1)</f>
        <v>4</v>
      </c>
      <c r="L640">
        <f>MIN(((374/K640)*I640),L641)</f>
        <v>37.886607286</v>
      </c>
      <c r="M640">
        <f>-LOG10(L640)</f>
        <v>-1.5784857163085262</v>
      </c>
    </row>
    <row r="641" spans="1:13" x14ac:dyDescent="0.2">
      <c r="A641" t="s">
        <v>326</v>
      </c>
      <c r="B641" t="s">
        <v>24</v>
      </c>
      <c r="C641" t="s">
        <v>25</v>
      </c>
      <c r="D641">
        <v>-4.1807428000000001E-2</v>
      </c>
      <c r="E641" s="7">
        <f>ABS(D641)</f>
        <v>4.1807428000000001E-2</v>
      </c>
      <c r="F641">
        <v>0.257084227</v>
      </c>
      <c r="G641">
        <v>146</v>
      </c>
      <c r="H641">
        <v>31</v>
      </c>
      <c r="I641">
        <v>0.87104601599999998</v>
      </c>
      <c r="J641">
        <v>0.95802849999999995</v>
      </c>
      <c r="K641">
        <f>IF(C641=C640,K640+1,1)</f>
        <v>5</v>
      </c>
      <c r="L641">
        <f>MIN(((374/K641)*I641),L642)</f>
        <v>37.886607286</v>
      </c>
      <c r="M641">
        <f>-LOG10(L641)</f>
        <v>-1.5784857163085262</v>
      </c>
    </row>
    <row r="642" spans="1:13" x14ac:dyDescent="0.2">
      <c r="A642" t="s">
        <v>372</v>
      </c>
      <c r="B642" t="s">
        <v>24</v>
      </c>
      <c r="C642" t="s">
        <v>25</v>
      </c>
      <c r="D642">
        <v>-4.1590039000000002E-2</v>
      </c>
      <c r="E642" s="7">
        <f>ABS(D642)</f>
        <v>4.1590039000000002E-2</v>
      </c>
      <c r="F642">
        <v>0.16144640699999999</v>
      </c>
      <c r="G642">
        <v>146</v>
      </c>
      <c r="H642">
        <v>19</v>
      </c>
      <c r="I642">
        <v>0.79707906100000003</v>
      </c>
      <c r="J642">
        <v>0.941888053</v>
      </c>
      <c r="K642">
        <f>IF(C642=C641,K641+1,1)</f>
        <v>6</v>
      </c>
      <c r="L642">
        <f>MIN(((374/K642)*I642),L643)</f>
        <v>37.886607286</v>
      </c>
      <c r="M642">
        <f>-LOG10(L642)</f>
        <v>-1.5784857163085262</v>
      </c>
    </row>
    <row r="643" spans="1:13" x14ac:dyDescent="0.2">
      <c r="A643" t="s">
        <v>191</v>
      </c>
      <c r="B643" t="s">
        <v>24</v>
      </c>
      <c r="C643" t="s">
        <v>25</v>
      </c>
      <c r="D643">
        <v>-4.1151687999999999E-2</v>
      </c>
      <c r="E643" s="7">
        <f>ABS(D643)</f>
        <v>4.1151687999999999E-2</v>
      </c>
      <c r="F643">
        <v>0.11009047299999999</v>
      </c>
      <c r="G643">
        <v>146</v>
      </c>
      <c r="H643">
        <v>21</v>
      </c>
      <c r="I643">
        <v>0.70910762299999996</v>
      </c>
      <c r="J643">
        <v>0.91358856600000005</v>
      </c>
      <c r="K643">
        <f>IF(C643=C642,K642+1,1)</f>
        <v>7</v>
      </c>
      <c r="L643">
        <f>MIN(((374/K643)*I643),L644)</f>
        <v>37.886607286</v>
      </c>
      <c r="M643">
        <f>-LOG10(L643)</f>
        <v>-1.5784857163085262</v>
      </c>
    </row>
    <row r="644" spans="1:13" x14ac:dyDescent="0.2">
      <c r="A644" t="s">
        <v>121</v>
      </c>
      <c r="B644" t="s">
        <v>24</v>
      </c>
      <c r="C644" t="s">
        <v>25</v>
      </c>
      <c r="D644">
        <v>4.0928869999999999E-2</v>
      </c>
      <c r="E644" s="7">
        <f>ABS(D644)</f>
        <v>4.0928869999999999E-2</v>
      </c>
      <c r="F644">
        <v>0.27411478099999997</v>
      </c>
      <c r="G644">
        <v>146</v>
      </c>
      <c r="H644">
        <v>24</v>
      </c>
      <c r="I644">
        <v>0.88151711799999999</v>
      </c>
      <c r="J644">
        <v>0.95839361099999998</v>
      </c>
      <c r="K644">
        <f>IF(C644=C643,K643+1,1)</f>
        <v>8</v>
      </c>
      <c r="L644">
        <f>MIN(((374/K644)*I644),L645)</f>
        <v>41.210925266499999</v>
      </c>
      <c r="M644">
        <f>-LOG10(L644)</f>
        <v>-1.6150123654011759</v>
      </c>
    </row>
    <row r="645" spans="1:13" x14ac:dyDescent="0.2">
      <c r="A645" t="s">
        <v>146</v>
      </c>
      <c r="B645" t="s">
        <v>10</v>
      </c>
      <c r="C645" t="s">
        <v>11</v>
      </c>
      <c r="D645">
        <v>-4.0868661000000001E-2</v>
      </c>
      <c r="E645" s="7">
        <f>ABS(D645)</f>
        <v>4.0868661000000001E-2</v>
      </c>
      <c r="F645">
        <v>0.14772649500000001</v>
      </c>
      <c r="G645">
        <v>146</v>
      </c>
      <c r="H645">
        <v>16</v>
      </c>
      <c r="I645">
        <v>0.78244767900000001</v>
      </c>
      <c r="J645">
        <v>0.93793407600000001</v>
      </c>
      <c r="K645">
        <f>IF(C645=C644,K644+1,1)</f>
        <v>1</v>
      </c>
      <c r="L645">
        <f>MIN(((374/K645)*I645),L646)</f>
        <v>50.284159687666673</v>
      </c>
      <c r="M645">
        <f>-LOG10(L645)</f>
        <v>-1.701431196911229</v>
      </c>
    </row>
    <row r="646" spans="1:13" x14ac:dyDescent="0.2">
      <c r="A646" t="s">
        <v>9</v>
      </c>
      <c r="B646" t="s">
        <v>24</v>
      </c>
      <c r="C646" t="s">
        <v>25</v>
      </c>
      <c r="D646">
        <v>-4.0458996999999997E-2</v>
      </c>
      <c r="E646" s="7">
        <f>ABS(D646)</f>
        <v>4.0458996999999997E-2</v>
      </c>
      <c r="F646">
        <v>8.0647654999999999E-2</v>
      </c>
      <c r="G646">
        <v>146</v>
      </c>
      <c r="H646">
        <v>22</v>
      </c>
      <c r="I646">
        <v>0.61666691399999995</v>
      </c>
      <c r="J646">
        <v>0.87031481499999996</v>
      </c>
      <c r="K646">
        <f>IF(C646=C645,K645+1,1)</f>
        <v>1</v>
      </c>
      <c r="L646">
        <f>MIN(((374/K646)*I646),L647)</f>
        <v>50.284159687666673</v>
      </c>
      <c r="M646">
        <f>-LOG10(L646)</f>
        <v>-1.701431196911229</v>
      </c>
    </row>
    <row r="647" spans="1:13" x14ac:dyDescent="0.2">
      <c r="A647" t="s">
        <v>363</v>
      </c>
      <c r="B647" t="s">
        <v>10</v>
      </c>
      <c r="C647" t="s">
        <v>11</v>
      </c>
      <c r="D647">
        <v>-4.0458251000000001E-2</v>
      </c>
      <c r="E647" s="7">
        <f>ABS(D647)</f>
        <v>4.0458251000000001E-2</v>
      </c>
      <c r="F647">
        <v>0.10076604</v>
      </c>
      <c r="G647">
        <v>146</v>
      </c>
      <c r="H647">
        <v>17</v>
      </c>
      <c r="I647">
        <v>0.68864641299999996</v>
      </c>
      <c r="J647">
        <v>0.90366113299999995</v>
      </c>
      <c r="K647">
        <f>IF(C647=C646,K646+1,1)</f>
        <v>1</v>
      </c>
      <c r="L647">
        <f>MIN(((374/K647)*I647),L648)</f>
        <v>50.284159687666673</v>
      </c>
      <c r="M647">
        <f>-LOG10(L647)</f>
        <v>-1.701431196911229</v>
      </c>
    </row>
    <row r="648" spans="1:13" x14ac:dyDescent="0.2">
      <c r="A648" t="s">
        <v>85</v>
      </c>
      <c r="B648" t="s">
        <v>24</v>
      </c>
      <c r="C648" t="s">
        <v>25</v>
      </c>
      <c r="D648">
        <v>4.0181790000000002E-2</v>
      </c>
      <c r="E648" s="7">
        <f>ABS(D648)</f>
        <v>4.0181790000000002E-2</v>
      </c>
      <c r="F648">
        <v>0.26635662599999999</v>
      </c>
      <c r="G648">
        <v>146</v>
      </c>
      <c r="H648">
        <v>87</v>
      </c>
      <c r="I648">
        <v>0.88030103199999998</v>
      </c>
      <c r="J648">
        <v>0.95839361099999998</v>
      </c>
      <c r="K648">
        <f>IF(C648=C647,K647+1,1)</f>
        <v>1</v>
      </c>
      <c r="L648">
        <f>MIN(((374/K648)*I648),L649)</f>
        <v>50.284159687666673</v>
      </c>
      <c r="M648">
        <f>-LOG10(L648)</f>
        <v>-1.701431196911229</v>
      </c>
    </row>
    <row r="649" spans="1:13" x14ac:dyDescent="0.2">
      <c r="A649" t="s">
        <v>382</v>
      </c>
      <c r="B649" t="s">
        <v>24</v>
      </c>
      <c r="C649" t="s">
        <v>25</v>
      </c>
      <c r="D649">
        <v>-4.0154700000000002E-2</v>
      </c>
      <c r="E649" s="7">
        <f>ABS(D649)</f>
        <v>4.0154700000000002E-2</v>
      </c>
      <c r="F649">
        <v>0.22228314099999999</v>
      </c>
      <c r="G649">
        <v>146</v>
      </c>
      <c r="H649">
        <v>26</v>
      </c>
      <c r="I649">
        <v>0.85690071999999995</v>
      </c>
      <c r="J649">
        <v>0.95455804099999997</v>
      </c>
      <c r="K649">
        <f>IF(C649=C648,K648+1,1)</f>
        <v>2</v>
      </c>
      <c r="L649">
        <f>MIN(((374/K649)*I649),L650)</f>
        <v>50.284159687666673</v>
      </c>
      <c r="M649">
        <f>-LOG10(L649)</f>
        <v>-1.701431196911229</v>
      </c>
    </row>
    <row r="650" spans="1:13" x14ac:dyDescent="0.2">
      <c r="A650" t="s">
        <v>309</v>
      </c>
      <c r="B650" t="s">
        <v>10</v>
      </c>
      <c r="C650" t="s">
        <v>11</v>
      </c>
      <c r="D650">
        <v>-4.0114783000000001E-2</v>
      </c>
      <c r="E650" s="7">
        <f>ABS(D650)</f>
        <v>4.0114783000000001E-2</v>
      </c>
      <c r="F650">
        <v>0.124853582</v>
      </c>
      <c r="G650">
        <v>146</v>
      </c>
      <c r="H650">
        <v>30</v>
      </c>
      <c r="I650">
        <v>0.74845625800000004</v>
      </c>
      <c r="J650">
        <v>0.92843330199999996</v>
      </c>
      <c r="K650">
        <f>IF(C650=C649,K649+1,1)</f>
        <v>1</v>
      </c>
      <c r="L650">
        <f>MIN(((374/K650)*I650),L651)</f>
        <v>50.284159687666673</v>
      </c>
      <c r="M650">
        <f>-LOG10(L650)</f>
        <v>-1.701431196911229</v>
      </c>
    </row>
    <row r="651" spans="1:13" x14ac:dyDescent="0.2">
      <c r="A651" t="s">
        <v>364</v>
      </c>
      <c r="B651" t="s">
        <v>10</v>
      </c>
      <c r="C651" t="s">
        <v>11</v>
      </c>
      <c r="D651">
        <v>3.9690437000000002E-2</v>
      </c>
      <c r="E651" s="7">
        <f>ABS(D651)</f>
        <v>3.9690437000000002E-2</v>
      </c>
      <c r="F651">
        <v>0.10216091400000001</v>
      </c>
      <c r="G651">
        <v>146</v>
      </c>
      <c r="H651">
        <v>17</v>
      </c>
      <c r="I651">
        <v>0.69821719500000001</v>
      </c>
      <c r="J651">
        <v>0.90987188500000005</v>
      </c>
      <c r="K651">
        <f>IF(C651=C650,K650+1,1)</f>
        <v>2</v>
      </c>
      <c r="L651">
        <f>MIN(((374/K651)*I651),L652)</f>
        <v>50.284159687666673</v>
      </c>
      <c r="M651">
        <f>-LOG10(L651)</f>
        <v>-1.701431196911229</v>
      </c>
    </row>
    <row r="652" spans="1:13" x14ac:dyDescent="0.2">
      <c r="A652" t="s">
        <v>378</v>
      </c>
      <c r="B652" t="s">
        <v>24</v>
      </c>
      <c r="C652" t="s">
        <v>25</v>
      </c>
      <c r="D652">
        <v>3.9617962E-2</v>
      </c>
      <c r="E652" s="7">
        <f>ABS(D652)</f>
        <v>3.9617962E-2</v>
      </c>
      <c r="F652">
        <v>0.201472079</v>
      </c>
      <c r="G652">
        <v>146</v>
      </c>
      <c r="H652">
        <v>94</v>
      </c>
      <c r="I652">
        <v>0.84438654700000004</v>
      </c>
      <c r="J652">
        <v>0.95264123300000003</v>
      </c>
      <c r="K652">
        <f>IF(C652=C651,K651+1,1)</f>
        <v>1</v>
      </c>
      <c r="L652">
        <f>MIN(((374/K652)*I652),L653)</f>
        <v>50.284159687666673</v>
      </c>
      <c r="M652">
        <f>-LOG10(L652)</f>
        <v>-1.701431196911229</v>
      </c>
    </row>
    <row r="653" spans="1:13" x14ac:dyDescent="0.2">
      <c r="A653" t="s">
        <v>151</v>
      </c>
      <c r="B653" t="s">
        <v>24</v>
      </c>
      <c r="C653" t="s">
        <v>25</v>
      </c>
      <c r="D653">
        <v>3.8826751E-2</v>
      </c>
      <c r="E653" s="7">
        <f>ABS(D653)</f>
        <v>3.8826751E-2</v>
      </c>
      <c r="F653">
        <v>0.20962946199999999</v>
      </c>
      <c r="G653">
        <v>146</v>
      </c>
      <c r="H653">
        <v>28</v>
      </c>
      <c r="I653">
        <v>0.85332198299999995</v>
      </c>
      <c r="J653">
        <v>0.95408795700000004</v>
      </c>
      <c r="K653">
        <f>IF(C653=C652,K652+1,1)</f>
        <v>2</v>
      </c>
      <c r="L653">
        <f>MIN(((374/K653)*I653),L654)</f>
        <v>50.284159687666673</v>
      </c>
      <c r="M653">
        <f>-LOG10(L653)</f>
        <v>-1.701431196911229</v>
      </c>
    </row>
    <row r="654" spans="1:13" x14ac:dyDescent="0.2">
      <c r="A654" t="s">
        <v>44</v>
      </c>
      <c r="B654" t="s">
        <v>24</v>
      </c>
      <c r="C654" t="s">
        <v>25</v>
      </c>
      <c r="D654">
        <v>3.8296762999999998E-2</v>
      </c>
      <c r="E654" s="7">
        <f>ABS(D654)</f>
        <v>3.8296762999999998E-2</v>
      </c>
      <c r="F654">
        <v>0.134639334</v>
      </c>
      <c r="G654">
        <v>146</v>
      </c>
      <c r="H654">
        <v>24</v>
      </c>
      <c r="I654">
        <v>0.776484968</v>
      </c>
      <c r="J654">
        <v>0.93579157999999996</v>
      </c>
      <c r="K654">
        <f>IF(C654=C653,K653+1,1)</f>
        <v>3</v>
      </c>
      <c r="L654">
        <f>MIN(((374/K654)*I654),L655)</f>
        <v>50.284159687666673</v>
      </c>
      <c r="M654">
        <f>-LOG10(L654)</f>
        <v>-1.701431196911229</v>
      </c>
    </row>
    <row r="655" spans="1:13" x14ac:dyDescent="0.2">
      <c r="A655" t="s">
        <v>372</v>
      </c>
      <c r="B655" t="s">
        <v>10</v>
      </c>
      <c r="C655" t="s">
        <v>11</v>
      </c>
      <c r="D655">
        <v>3.7574939000000002E-2</v>
      </c>
      <c r="E655" s="7">
        <f>ABS(D655)</f>
        <v>3.7574939000000002E-2</v>
      </c>
      <c r="F655">
        <v>0.172722397</v>
      </c>
      <c r="G655">
        <v>146</v>
      </c>
      <c r="H655">
        <v>19</v>
      </c>
      <c r="I655">
        <v>0.82809353600000002</v>
      </c>
      <c r="J655">
        <v>0.95264123300000003</v>
      </c>
      <c r="K655">
        <f>IF(C655=C654,K654+1,1)</f>
        <v>1</v>
      </c>
      <c r="L655">
        <f>MIN(((374/K655)*I655),L656)</f>
        <v>50.284159687666673</v>
      </c>
      <c r="M655">
        <f>-LOG10(L655)</f>
        <v>-1.701431196911229</v>
      </c>
    </row>
    <row r="656" spans="1:13" x14ac:dyDescent="0.2">
      <c r="A656" t="s">
        <v>321</v>
      </c>
      <c r="B656" t="s">
        <v>10</v>
      </c>
      <c r="C656" t="s">
        <v>11</v>
      </c>
      <c r="D656">
        <v>3.6841232000000002E-2</v>
      </c>
      <c r="E656" s="7">
        <f>ABS(D656)</f>
        <v>3.6841232000000002E-2</v>
      </c>
      <c r="F656">
        <v>0.136466589</v>
      </c>
      <c r="G656">
        <v>146</v>
      </c>
      <c r="H656">
        <v>17</v>
      </c>
      <c r="I656">
        <v>0.787576214</v>
      </c>
      <c r="J656">
        <v>0.93799408799999995</v>
      </c>
      <c r="K656">
        <f>IF(C656=C655,K655+1,1)</f>
        <v>2</v>
      </c>
      <c r="L656">
        <f>MIN(((374/K656)*I656),L657)</f>
        <v>50.284159687666673</v>
      </c>
      <c r="M656">
        <f>-LOG10(L656)</f>
        <v>-1.701431196911229</v>
      </c>
    </row>
    <row r="657" spans="1:13" x14ac:dyDescent="0.2">
      <c r="A657" t="s">
        <v>382</v>
      </c>
      <c r="B657" t="s">
        <v>10</v>
      </c>
      <c r="C657" t="s">
        <v>11</v>
      </c>
      <c r="D657">
        <v>3.6806140000000001E-2</v>
      </c>
      <c r="E657" s="7">
        <f>ABS(D657)</f>
        <v>3.6806140000000001E-2</v>
      </c>
      <c r="F657">
        <v>0.23780818400000001</v>
      </c>
      <c r="G657">
        <v>146</v>
      </c>
      <c r="H657">
        <v>26</v>
      </c>
      <c r="I657">
        <v>0.877218999</v>
      </c>
      <c r="J657">
        <v>0.95802849999999995</v>
      </c>
      <c r="K657">
        <f>IF(C657=C656,K656+1,1)</f>
        <v>3</v>
      </c>
      <c r="L657">
        <f>MIN(((374/K657)*I657),L658)</f>
        <v>50.284159687666673</v>
      </c>
      <c r="M657">
        <f>-LOG10(L657)</f>
        <v>-1.701431196911229</v>
      </c>
    </row>
    <row r="658" spans="1:13" x14ac:dyDescent="0.2">
      <c r="A658" t="s">
        <v>381</v>
      </c>
      <c r="B658" t="s">
        <v>24</v>
      </c>
      <c r="C658" t="s">
        <v>25</v>
      </c>
      <c r="D658">
        <v>-3.6717242999999997E-2</v>
      </c>
      <c r="E658" s="7">
        <f>ABS(D658)</f>
        <v>3.6717242999999997E-2</v>
      </c>
      <c r="F658">
        <v>0.20291362099999999</v>
      </c>
      <c r="G658">
        <v>146</v>
      </c>
      <c r="H658">
        <v>24</v>
      </c>
      <c r="I658">
        <v>0.85666294200000004</v>
      </c>
      <c r="J658">
        <v>0.95455804099999997</v>
      </c>
      <c r="K658">
        <f>IF(C658=C657,K657+1,1)</f>
        <v>1</v>
      </c>
      <c r="L658">
        <f>MIN(((374/K658)*I658),L659)</f>
        <v>50.284159687666673</v>
      </c>
      <c r="M658">
        <f>-LOG10(L658)</f>
        <v>-1.701431196911229</v>
      </c>
    </row>
    <row r="659" spans="1:13" x14ac:dyDescent="0.2">
      <c r="A659" t="s">
        <v>265</v>
      </c>
      <c r="B659" t="s">
        <v>24</v>
      </c>
      <c r="C659" t="s">
        <v>25</v>
      </c>
      <c r="D659">
        <v>-3.6319754000000003E-2</v>
      </c>
      <c r="E659" s="7">
        <f>ABS(D659)</f>
        <v>3.6319754000000003E-2</v>
      </c>
      <c r="F659">
        <v>0.27523261500000001</v>
      </c>
      <c r="G659">
        <v>146</v>
      </c>
      <c r="H659">
        <v>97</v>
      </c>
      <c r="I659">
        <v>0.89520125100000003</v>
      </c>
      <c r="J659">
        <v>0.96407265099999995</v>
      </c>
      <c r="K659">
        <f>IF(C659=C658,K658+1,1)</f>
        <v>2</v>
      </c>
      <c r="L659">
        <f>MIN(((374/K659)*I659),L660)</f>
        <v>50.284159687666673</v>
      </c>
      <c r="M659">
        <f>-LOG10(L659)</f>
        <v>-1.701431196911229</v>
      </c>
    </row>
    <row r="660" spans="1:13" x14ac:dyDescent="0.2">
      <c r="A660" t="s">
        <v>325</v>
      </c>
      <c r="B660" t="s">
        <v>10</v>
      </c>
      <c r="C660" t="s">
        <v>11</v>
      </c>
      <c r="D660">
        <v>-3.6299689000000003E-2</v>
      </c>
      <c r="E660" s="7">
        <f>ABS(D660)</f>
        <v>3.6299689000000003E-2</v>
      </c>
      <c r="F660">
        <v>8.8236587000000005E-2</v>
      </c>
      <c r="G660">
        <v>146</v>
      </c>
      <c r="H660">
        <v>15</v>
      </c>
      <c r="I660">
        <v>0.68140215900000001</v>
      </c>
      <c r="J660">
        <v>0.90274859299999999</v>
      </c>
      <c r="K660">
        <f>IF(C660=C659,K659+1,1)</f>
        <v>1</v>
      </c>
      <c r="L660">
        <f>MIN(((374/K660)*I660),L661)</f>
        <v>50.284159687666673</v>
      </c>
      <c r="M660">
        <f>-LOG10(L660)</f>
        <v>-1.701431196911229</v>
      </c>
    </row>
    <row r="661" spans="1:13" x14ac:dyDescent="0.2">
      <c r="A661" t="s">
        <v>80</v>
      </c>
      <c r="B661" t="s">
        <v>24</v>
      </c>
      <c r="C661" t="s">
        <v>25</v>
      </c>
      <c r="D661">
        <v>3.5743031000000001E-2</v>
      </c>
      <c r="E661" s="7">
        <f>ABS(D661)</f>
        <v>3.5743031000000001E-2</v>
      </c>
      <c r="F661">
        <v>8.4627380000000002E-2</v>
      </c>
      <c r="G661">
        <v>146</v>
      </c>
      <c r="H661">
        <v>15</v>
      </c>
      <c r="I661">
        <v>0.67339825900000005</v>
      </c>
      <c r="J661">
        <v>0.90274859299999999</v>
      </c>
      <c r="K661">
        <f>IF(C661=C660,K660+1,1)</f>
        <v>1</v>
      </c>
      <c r="L661">
        <f>MIN(((374/K661)*I661),L662)</f>
        <v>50.284159687666673</v>
      </c>
      <c r="M661">
        <f>-LOG10(L661)</f>
        <v>-1.701431196911229</v>
      </c>
    </row>
    <row r="662" spans="1:13" x14ac:dyDescent="0.2">
      <c r="A662" t="s">
        <v>330</v>
      </c>
      <c r="B662" t="s">
        <v>10</v>
      </c>
      <c r="C662" t="s">
        <v>11</v>
      </c>
      <c r="D662">
        <v>3.5498755E-2</v>
      </c>
      <c r="E662" s="7">
        <f>ABS(D662)</f>
        <v>3.5498755E-2</v>
      </c>
      <c r="F662">
        <v>0.11389556300000001</v>
      </c>
      <c r="G662">
        <v>146</v>
      </c>
      <c r="H662">
        <v>20</v>
      </c>
      <c r="I662">
        <v>0.75573910600000005</v>
      </c>
      <c r="J662">
        <v>0.92955169699999995</v>
      </c>
      <c r="K662">
        <f>IF(C662=C661,K661+1,1)</f>
        <v>1</v>
      </c>
      <c r="L662">
        <f>MIN(((374/K662)*I662),L663)</f>
        <v>50.284159687666673</v>
      </c>
      <c r="M662">
        <f>-LOG10(L662)</f>
        <v>-1.701431196911229</v>
      </c>
    </row>
    <row r="663" spans="1:13" x14ac:dyDescent="0.2">
      <c r="A663" t="s">
        <v>370</v>
      </c>
      <c r="B663" t="s">
        <v>24</v>
      </c>
      <c r="C663" t="s">
        <v>25</v>
      </c>
      <c r="D663">
        <v>3.5163721000000002E-2</v>
      </c>
      <c r="E663" s="7">
        <f>ABS(D663)</f>
        <v>3.5163721000000002E-2</v>
      </c>
      <c r="F663">
        <v>0.12850593399999999</v>
      </c>
      <c r="G663">
        <v>146</v>
      </c>
      <c r="H663">
        <v>16</v>
      </c>
      <c r="I663">
        <v>0.78475996599999998</v>
      </c>
      <c r="J663">
        <v>0.93799408799999995</v>
      </c>
      <c r="K663">
        <f>IF(C663=C662,K662+1,1)</f>
        <v>1</v>
      </c>
      <c r="L663">
        <f>MIN(((374/K663)*I663),L664)</f>
        <v>50.284159687666673</v>
      </c>
      <c r="M663">
        <f>-LOG10(L663)</f>
        <v>-1.701431196911229</v>
      </c>
    </row>
    <row r="664" spans="1:13" x14ac:dyDescent="0.2">
      <c r="A664" t="s">
        <v>32</v>
      </c>
      <c r="B664" t="s">
        <v>24</v>
      </c>
      <c r="C664" t="s">
        <v>25</v>
      </c>
      <c r="D664">
        <v>-3.4621583999999997E-2</v>
      </c>
      <c r="E664" s="7">
        <f>ABS(D664)</f>
        <v>3.4621583999999997E-2</v>
      </c>
      <c r="F664">
        <v>0.39851170899999999</v>
      </c>
      <c r="G664">
        <v>146</v>
      </c>
      <c r="H664">
        <v>87</v>
      </c>
      <c r="I664">
        <v>0.93089065000000004</v>
      </c>
      <c r="J664">
        <v>0.97521877599999995</v>
      </c>
      <c r="K664">
        <f>IF(C664=C663,K663+1,1)</f>
        <v>2</v>
      </c>
      <c r="L664">
        <f>MIN(((374/K664)*I664),L665)</f>
        <v>50.284159687666673</v>
      </c>
      <c r="M664">
        <f>-LOG10(L664)</f>
        <v>-1.701431196911229</v>
      </c>
    </row>
    <row r="665" spans="1:13" x14ac:dyDescent="0.2">
      <c r="A665" t="s">
        <v>263</v>
      </c>
      <c r="B665" t="s">
        <v>24</v>
      </c>
      <c r="C665" t="s">
        <v>25</v>
      </c>
      <c r="D665">
        <v>-3.3854680999999998E-2</v>
      </c>
      <c r="E665" s="7">
        <f>ABS(D665)</f>
        <v>3.3854680999999998E-2</v>
      </c>
      <c r="F665">
        <v>0.109820983</v>
      </c>
      <c r="G665">
        <v>146</v>
      </c>
      <c r="H665">
        <v>24</v>
      </c>
      <c r="I665">
        <v>0.75832433499999996</v>
      </c>
      <c r="J665">
        <v>0.92963551799999999</v>
      </c>
      <c r="K665">
        <f>IF(C665=C664,K664+1,1)</f>
        <v>3</v>
      </c>
      <c r="L665">
        <f>MIN(((374/K665)*I665),L666)</f>
        <v>50.284159687666673</v>
      </c>
      <c r="M665">
        <f>-LOG10(L665)</f>
        <v>-1.701431196911229</v>
      </c>
    </row>
    <row r="666" spans="1:13" x14ac:dyDescent="0.2">
      <c r="A666" t="s">
        <v>374</v>
      </c>
      <c r="B666" t="s">
        <v>24</v>
      </c>
      <c r="C666" t="s">
        <v>25</v>
      </c>
      <c r="D666">
        <v>3.3430143000000002E-2</v>
      </c>
      <c r="E666" s="7">
        <f>ABS(D666)</f>
        <v>3.3430143000000002E-2</v>
      </c>
      <c r="F666">
        <v>0.192176349</v>
      </c>
      <c r="G666">
        <v>146</v>
      </c>
      <c r="H666">
        <v>24</v>
      </c>
      <c r="I666">
        <v>0.86214641000000003</v>
      </c>
      <c r="J666">
        <v>0.95753354300000004</v>
      </c>
      <c r="K666">
        <f>IF(C666=C665,K665+1,1)</f>
        <v>4</v>
      </c>
      <c r="L666">
        <f>MIN(((374/K666)*I666),L667)</f>
        <v>50.284159687666673</v>
      </c>
      <c r="M666">
        <f>-LOG10(L666)</f>
        <v>-1.701431196911229</v>
      </c>
    </row>
    <row r="667" spans="1:13" x14ac:dyDescent="0.2">
      <c r="A667" t="s">
        <v>245</v>
      </c>
      <c r="B667" t="s">
        <v>10</v>
      </c>
      <c r="C667" t="s">
        <v>11</v>
      </c>
      <c r="D667">
        <v>-3.3343553999999997E-2</v>
      </c>
      <c r="E667" s="7">
        <f>ABS(D667)</f>
        <v>3.3343553999999997E-2</v>
      </c>
      <c r="F667">
        <v>0.107300336</v>
      </c>
      <c r="G667">
        <v>146</v>
      </c>
      <c r="H667">
        <v>19</v>
      </c>
      <c r="I667">
        <v>0.75644335399999996</v>
      </c>
      <c r="J667">
        <v>0.92955169699999995</v>
      </c>
      <c r="K667">
        <f>IF(C667=C666,K666+1,1)</f>
        <v>1</v>
      </c>
      <c r="L667">
        <f>MIN(((374/K667)*I667),L668)</f>
        <v>50.284159687666673</v>
      </c>
      <c r="M667">
        <f>-LOG10(L667)</f>
        <v>-1.701431196911229</v>
      </c>
    </row>
    <row r="668" spans="1:13" x14ac:dyDescent="0.2">
      <c r="A668" t="s">
        <v>282</v>
      </c>
      <c r="B668" t="s">
        <v>10</v>
      </c>
      <c r="C668" t="s">
        <v>11</v>
      </c>
      <c r="D668">
        <v>3.3319726000000001E-2</v>
      </c>
      <c r="E668" s="7">
        <f>ABS(D668)</f>
        <v>3.3319726000000001E-2</v>
      </c>
      <c r="F668">
        <v>0.15058322900000001</v>
      </c>
      <c r="G668">
        <v>146</v>
      </c>
      <c r="H668">
        <v>30</v>
      </c>
      <c r="I668">
        <v>0.82519694899999996</v>
      </c>
      <c r="J668">
        <v>0.95264123300000003</v>
      </c>
      <c r="K668">
        <f>IF(C668=C667,K667+1,1)</f>
        <v>2</v>
      </c>
      <c r="L668">
        <f>MIN(((374/K668)*I668),L669)</f>
        <v>50.284159687666673</v>
      </c>
      <c r="M668">
        <f>-LOG10(L668)</f>
        <v>-1.701431196911229</v>
      </c>
    </row>
    <row r="669" spans="1:13" x14ac:dyDescent="0.2">
      <c r="A669" t="s">
        <v>384</v>
      </c>
      <c r="B669" t="s">
        <v>10</v>
      </c>
      <c r="C669" t="s">
        <v>11</v>
      </c>
      <c r="D669">
        <v>-3.1964303999999999E-2</v>
      </c>
      <c r="E669" s="7">
        <f>ABS(D669)</f>
        <v>3.1964303999999999E-2</v>
      </c>
      <c r="F669">
        <v>0.23325201400000001</v>
      </c>
      <c r="G669">
        <v>146</v>
      </c>
      <c r="H669">
        <v>51</v>
      </c>
      <c r="I669">
        <v>0.89119380100000001</v>
      </c>
      <c r="J669">
        <v>0.96407265099999995</v>
      </c>
      <c r="K669">
        <f>IF(C669=C668,K668+1,1)</f>
        <v>3</v>
      </c>
      <c r="L669">
        <f>MIN(((374/K669)*I669),L670)</f>
        <v>50.284159687666673</v>
      </c>
      <c r="M669">
        <f>-LOG10(L669)</f>
        <v>-1.701431196911229</v>
      </c>
    </row>
    <row r="670" spans="1:13" x14ac:dyDescent="0.2">
      <c r="A670" t="s">
        <v>229</v>
      </c>
      <c r="B670" t="s">
        <v>10</v>
      </c>
      <c r="C670" t="s">
        <v>11</v>
      </c>
      <c r="D670">
        <v>3.1928907999999999E-2</v>
      </c>
      <c r="E670" s="7">
        <f>ABS(D670)</f>
        <v>3.1928907999999999E-2</v>
      </c>
      <c r="F670">
        <v>0.106966965</v>
      </c>
      <c r="G670">
        <v>146</v>
      </c>
      <c r="H670">
        <v>17</v>
      </c>
      <c r="I670">
        <v>0.76576009199999995</v>
      </c>
      <c r="J670">
        <v>0.93136349399999996</v>
      </c>
      <c r="K670">
        <f>IF(C670=C669,K669+1,1)</f>
        <v>4</v>
      </c>
      <c r="L670">
        <f>MIN(((374/K670)*I670),L671)</f>
        <v>50.284159687666673</v>
      </c>
      <c r="M670">
        <f>-LOG10(L670)</f>
        <v>-1.701431196911229</v>
      </c>
    </row>
    <row r="671" spans="1:13" x14ac:dyDescent="0.2">
      <c r="A671" t="s">
        <v>136</v>
      </c>
      <c r="B671" t="s">
        <v>10</v>
      </c>
      <c r="C671" t="s">
        <v>11</v>
      </c>
      <c r="D671">
        <v>-3.1920811E-2</v>
      </c>
      <c r="E671" s="7">
        <f>ABS(D671)</f>
        <v>3.1920811E-2</v>
      </c>
      <c r="F671">
        <v>0.12979188</v>
      </c>
      <c r="G671">
        <v>146</v>
      </c>
      <c r="H671">
        <v>20</v>
      </c>
      <c r="I671">
        <v>0.80608254300000004</v>
      </c>
      <c r="J671">
        <v>0.94430346899999995</v>
      </c>
      <c r="K671">
        <f>IF(C671=C670,K670+1,1)</f>
        <v>5</v>
      </c>
      <c r="L671">
        <f>MIN(((374/K671)*I671),L672)</f>
        <v>50.284159687666673</v>
      </c>
      <c r="M671">
        <f>-LOG10(L671)</f>
        <v>-1.701431196911229</v>
      </c>
    </row>
    <row r="672" spans="1:13" x14ac:dyDescent="0.2">
      <c r="A672" t="s">
        <v>217</v>
      </c>
      <c r="B672" t="s">
        <v>10</v>
      </c>
      <c r="C672" t="s">
        <v>11</v>
      </c>
      <c r="D672">
        <v>-3.0847369999999999E-2</v>
      </c>
      <c r="E672" s="7">
        <f>ABS(D672)</f>
        <v>3.0847369999999999E-2</v>
      </c>
      <c r="F672">
        <v>0.125834583</v>
      </c>
      <c r="G672">
        <v>146</v>
      </c>
      <c r="H672">
        <v>29</v>
      </c>
      <c r="I672">
        <v>0.80669774900000002</v>
      </c>
      <c r="J672">
        <v>0.94430346899999995</v>
      </c>
      <c r="K672">
        <f>IF(C672=C671,K671+1,1)</f>
        <v>6</v>
      </c>
      <c r="L672">
        <f>MIN(((374/K672)*I672),L673)</f>
        <v>50.284159687666673</v>
      </c>
      <c r="M672">
        <f>-LOG10(L672)</f>
        <v>-1.701431196911229</v>
      </c>
    </row>
    <row r="673" spans="1:13" x14ac:dyDescent="0.2">
      <c r="A673" t="s">
        <v>201</v>
      </c>
      <c r="B673" t="s">
        <v>24</v>
      </c>
      <c r="C673" t="s">
        <v>25</v>
      </c>
      <c r="D673">
        <v>3.0338046E-2</v>
      </c>
      <c r="E673" s="7">
        <f>ABS(D673)</f>
        <v>3.0338046E-2</v>
      </c>
      <c r="F673">
        <v>0.25369248300000002</v>
      </c>
      <c r="G673">
        <v>146</v>
      </c>
      <c r="H673">
        <v>51</v>
      </c>
      <c r="I673">
        <v>0.90497902299999999</v>
      </c>
      <c r="J673">
        <v>0.96565522000000004</v>
      </c>
      <c r="K673">
        <f>IF(C673=C672,K672+1,1)</f>
        <v>1</v>
      </c>
      <c r="L673">
        <f>MIN(((374/K673)*I673),L674)</f>
        <v>60.843108990399998</v>
      </c>
      <c r="M673">
        <f>-LOG10(L673)</f>
        <v>-1.7842113977359475</v>
      </c>
    </row>
    <row r="674" spans="1:13" x14ac:dyDescent="0.2">
      <c r="A674" t="s">
        <v>231</v>
      </c>
      <c r="B674" t="s">
        <v>24</v>
      </c>
      <c r="C674" t="s">
        <v>25</v>
      </c>
      <c r="D674">
        <v>-2.9822754E-2</v>
      </c>
      <c r="E674" s="7">
        <f>ABS(D674)</f>
        <v>2.9822754E-2</v>
      </c>
      <c r="F674">
        <v>0.102803994</v>
      </c>
      <c r="G674">
        <v>146</v>
      </c>
      <c r="H674">
        <v>15</v>
      </c>
      <c r="I674">
        <v>0.77216506399999996</v>
      </c>
      <c r="J674">
        <v>0.93579157999999996</v>
      </c>
      <c r="K674">
        <f>IF(C674=C673,K673+1,1)</f>
        <v>2</v>
      </c>
      <c r="L674">
        <f>MIN(((374/K674)*I674),L675)</f>
        <v>60.843108990399998</v>
      </c>
      <c r="M674">
        <f>-LOG10(L674)</f>
        <v>-1.7842113977359475</v>
      </c>
    </row>
    <row r="675" spans="1:13" x14ac:dyDescent="0.2">
      <c r="A675" t="s">
        <v>204</v>
      </c>
      <c r="B675" t="s">
        <v>24</v>
      </c>
      <c r="C675" t="s">
        <v>25</v>
      </c>
      <c r="D675">
        <v>2.9771314E-2</v>
      </c>
      <c r="E675" s="7">
        <f>ABS(D675)</f>
        <v>2.9771314E-2</v>
      </c>
      <c r="F675">
        <v>0.28432475699999998</v>
      </c>
      <c r="G675">
        <v>146</v>
      </c>
      <c r="H675">
        <v>83</v>
      </c>
      <c r="I675">
        <v>0.91675357300000004</v>
      </c>
      <c r="J675">
        <v>0.97051143299999998</v>
      </c>
      <c r="K675">
        <f>IF(C675=C674,K674+1,1)</f>
        <v>3</v>
      </c>
      <c r="L675">
        <f>MIN(((374/K675)*I675),L676)</f>
        <v>60.843108990399998</v>
      </c>
      <c r="M675">
        <f>-LOG10(L675)</f>
        <v>-1.7842113977359475</v>
      </c>
    </row>
    <row r="676" spans="1:13" x14ac:dyDescent="0.2">
      <c r="A676" t="s">
        <v>377</v>
      </c>
      <c r="B676" t="s">
        <v>10</v>
      </c>
      <c r="C676" t="s">
        <v>11</v>
      </c>
      <c r="D676">
        <v>2.9499917E-2</v>
      </c>
      <c r="E676" s="7">
        <f>ABS(D676)</f>
        <v>2.9499917E-2</v>
      </c>
      <c r="F676">
        <v>0.26099008800000001</v>
      </c>
      <c r="G676">
        <v>146</v>
      </c>
      <c r="H676">
        <v>23</v>
      </c>
      <c r="I676">
        <v>0.91016466399999996</v>
      </c>
      <c r="J676">
        <v>0.96750469699999997</v>
      </c>
      <c r="K676">
        <f>IF(C676=C675,K675+1,1)</f>
        <v>1</v>
      </c>
      <c r="L676">
        <f>MIN(((374/K676)*I676),L677)</f>
        <v>60.843108990399998</v>
      </c>
      <c r="M676">
        <f>-LOG10(L676)</f>
        <v>-1.7842113977359475</v>
      </c>
    </row>
    <row r="677" spans="1:13" x14ac:dyDescent="0.2">
      <c r="A677" t="s">
        <v>73</v>
      </c>
      <c r="B677" t="s">
        <v>24</v>
      </c>
      <c r="C677" t="s">
        <v>25</v>
      </c>
      <c r="D677">
        <v>2.8710352000000001E-2</v>
      </c>
      <c r="E677" s="7">
        <f>ABS(D677)</f>
        <v>2.8710352000000001E-2</v>
      </c>
      <c r="F677">
        <v>0.14935336399999999</v>
      </c>
      <c r="G677">
        <v>146</v>
      </c>
      <c r="H677">
        <v>35</v>
      </c>
      <c r="I677">
        <v>0.84783395299999997</v>
      </c>
      <c r="J677">
        <v>0.95408795700000004</v>
      </c>
      <c r="K677">
        <f>IF(C677=C676,K676+1,1)</f>
        <v>1</v>
      </c>
      <c r="L677">
        <f>MIN(((374/K677)*I677),L678)</f>
        <v>60.843108990399998</v>
      </c>
      <c r="M677">
        <f>-LOG10(L677)</f>
        <v>-1.7842113977359475</v>
      </c>
    </row>
    <row r="678" spans="1:13" x14ac:dyDescent="0.2">
      <c r="A678" t="s">
        <v>366</v>
      </c>
      <c r="B678" t="s">
        <v>24</v>
      </c>
      <c r="C678" t="s">
        <v>25</v>
      </c>
      <c r="D678">
        <v>2.8645652000000001E-2</v>
      </c>
      <c r="E678" s="7">
        <f>ABS(D678)</f>
        <v>2.8645652000000001E-2</v>
      </c>
      <c r="F678">
        <v>0.13428082499999999</v>
      </c>
      <c r="G678">
        <v>146</v>
      </c>
      <c r="H678">
        <v>33</v>
      </c>
      <c r="I678">
        <v>0.83137618000000002</v>
      </c>
      <c r="J678">
        <v>0.95264123300000003</v>
      </c>
      <c r="K678">
        <f>IF(C678=C677,K677+1,1)</f>
        <v>2</v>
      </c>
      <c r="L678">
        <f>MIN(((374/K678)*I678),L679)</f>
        <v>60.843108990399998</v>
      </c>
      <c r="M678">
        <f>-LOG10(L678)</f>
        <v>-1.7842113977359475</v>
      </c>
    </row>
    <row r="679" spans="1:13" x14ac:dyDescent="0.2">
      <c r="A679" t="s">
        <v>241</v>
      </c>
      <c r="B679" t="s">
        <v>24</v>
      </c>
      <c r="C679" t="s">
        <v>25</v>
      </c>
      <c r="D679">
        <v>-2.8621270000000001E-2</v>
      </c>
      <c r="E679" s="7">
        <f>ABS(D679)</f>
        <v>2.8621270000000001E-2</v>
      </c>
      <c r="F679">
        <v>0.25238617200000002</v>
      </c>
      <c r="G679">
        <v>146</v>
      </c>
      <c r="H679">
        <v>49</v>
      </c>
      <c r="I679">
        <v>0.90987036099999996</v>
      </c>
      <c r="J679">
        <v>0.96750469699999997</v>
      </c>
      <c r="K679">
        <f>IF(C679=C678,K678+1,1)</f>
        <v>3</v>
      </c>
      <c r="L679">
        <f>MIN(((374/K679)*I679),L680)</f>
        <v>60.843108990399998</v>
      </c>
      <c r="M679">
        <f>-LOG10(L679)</f>
        <v>-1.7842113977359475</v>
      </c>
    </row>
    <row r="680" spans="1:13" x14ac:dyDescent="0.2">
      <c r="A680" t="s">
        <v>367</v>
      </c>
      <c r="B680" t="s">
        <v>10</v>
      </c>
      <c r="C680" t="s">
        <v>11</v>
      </c>
      <c r="D680">
        <v>2.8542138000000002E-2</v>
      </c>
      <c r="E680" s="7">
        <f>ABS(D680)</f>
        <v>2.8542138000000002E-2</v>
      </c>
      <c r="F680">
        <v>0.18639894100000001</v>
      </c>
      <c r="G680">
        <v>146</v>
      </c>
      <c r="H680">
        <v>32</v>
      </c>
      <c r="I680">
        <v>0.87851640499999994</v>
      </c>
      <c r="J680">
        <v>0.95802849999999995</v>
      </c>
      <c r="K680">
        <f>IF(C680=C679,K679+1,1)</f>
        <v>1</v>
      </c>
      <c r="L680">
        <f>MIN(((374/K680)*I680),L681)</f>
        <v>60.843108990399998</v>
      </c>
      <c r="M680">
        <f>-LOG10(L680)</f>
        <v>-1.7842113977359475</v>
      </c>
    </row>
    <row r="681" spans="1:13" x14ac:dyDescent="0.2">
      <c r="A681" t="s">
        <v>376</v>
      </c>
      <c r="B681" t="s">
        <v>24</v>
      </c>
      <c r="C681" t="s">
        <v>25</v>
      </c>
      <c r="D681">
        <v>2.8312865E-2</v>
      </c>
      <c r="E681" s="7">
        <f>ABS(D681)</f>
        <v>2.8312865E-2</v>
      </c>
      <c r="F681">
        <v>0.13497996000000001</v>
      </c>
      <c r="G681">
        <v>146</v>
      </c>
      <c r="H681">
        <v>24</v>
      </c>
      <c r="I681">
        <v>0.83415660899999999</v>
      </c>
      <c r="J681">
        <v>0.95264123300000003</v>
      </c>
      <c r="K681">
        <f>IF(C681=C680,K680+1,1)</f>
        <v>1</v>
      </c>
      <c r="L681">
        <f>MIN(((374/K681)*I681),L682)</f>
        <v>60.843108990399998</v>
      </c>
      <c r="M681">
        <f>-LOG10(L681)</f>
        <v>-1.7842113977359475</v>
      </c>
    </row>
    <row r="682" spans="1:13" x14ac:dyDescent="0.2">
      <c r="A682" t="s">
        <v>276</v>
      </c>
      <c r="B682" t="s">
        <v>24</v>
      </c>
      <c r="C682" t="s">
        <v>25</v>
      </c>
      <c r="D682">
        <v>-2.7861271999999999E-2</v>
      </c>
      <c r="E682" s="7">
        <f>ABS(D682)</f>
        <v>2.7861271999999999E-2</v>
      </c>
      <c r="F682">
        <v>0.119004755</v>
      </c>
      <c r="G682">
        <v>146</v>
      </c>
      <c r="H682">
        <v>19</v>
      </c>
      <c r="I682">
        <v>0.81522746700000004</v>
      </c>
      <c r="J682">
        <v>0.94687910799999997</v>
      </c>
      <c r="K682">
        <f>IF(C682=C681,K681+1,1)</f>
        <v>2</v>
      </c>
      <c r="L682">
        <f>MIN(((374/K682)*I682),L683)</f>
        <v>60.843108990399998</v>
      </c>
      <c r="M682">
        <f>-LOG10(L682)</f>
        <v>-1.7842113977359475</v>
      </c>
    </row>
    <row r="683" spans="1:13" x14ac:dyDescent="0.2">
      <c r="A683" t="s">
        <v>329</v>
      </c>
      <c r="B683" t="s">
        <v>10</v>
      </c>
      <c r="C683" t="s">
        <v>11</v>
      </c>
      <c r="D683">
        <v>-2.7327822000000002E-2</v>
      </c>
      <c r="E683" s="7">
        <f>ABS(D683)</f>
        <v>2.7327822000000002E-2</v>
      </c>
      <c r="F683">
        <v>0.13164115100000001</v>
      </c>
      <c r="G683">
        <v>146</v>
      </c>
      <c r="H683">
        <v>26</v>
      </c>
      <c r="I683">
        <v>0.83584187300000001</v>
      </c>
      <c r="J683">
        <v>0.95264123300000003</v>
      </c>
      <c r="K683">
        <f>IF(C683=C682,K682+1,1)</f>
        <v>1</v>
      </c>
      <c r="L683">
        <f>MIN(((374/K683)*I683),L684)</f>
        <v>60.843108990399998</v>
      </c>
      <c r="M683">
        <f>-LOG10(L683)</f>
        <v>-1.7842113977359475</v>
      </c>
    </row>
    <row r="684" spans="1:13" x14ac:dyDescent="0.2">
      <c r="A684" t="s">
        <v>252</v>
      </c>
      <c r="B684" t="s">
        <v>10</v>
      </c>
      <c r="C684" t="s">
        <v>11</v>
      </c>
      <c r="D684">
        <v>2.6900640999999999E-2</v>
      </c>
      <c r="E684" s="7">
        <f>ABS(D684)</f>
        <v>2.6900640999999999E-2</v>
      </c>
      <c r="F684">
        <v>0.163503341</v>
      </c>
      <c r="G684">
        <v>146</v>
      </c>
      <c r="H684">
        <v>44</v>
      </c>
      <c r="I684">
        <v>0.86954897900000006</v>
      </c>
      <c r="J684">
        <v>0.95802849999999995</v>
      </c>
      <c r="K684">
        <f>IF(C684=C683,K683+1,1)</f>
        <v>2</v>
      </c>
      <c r="L684">
        <f>MIN(((374/K684)*I684),L685)</f>
        <v>60.843108990399998</v>
      </c>
      <c r="M684">
        <f>-LOG10(L684)</f>
        <v>-1.7842113977359475</v>
      </c>
    </row>
    <row r="685" spans="1:13" x14ac:dyDescent="0.2">
      <c r="A685" t="s">
        <v>39</v>
      </c>
      <c r="B685" t="s">
        <v>24</v>
      </c>
      <c r="C685" t="s">
        <v>25</v>
      </c>
      <c r="D685">
        <v>-2.6729145999999999E-2</v>
      </c>
      <c r="E685" s="7">
        <f>ABS(D685)</f>
        <v>2.6729145999999999E-2</v>
      </c>
      <c r="F685">
        <v>0.16181002</v>
      </c>
      <c r="G685">
        <v>146</v>
      </c>
      <c r="H685">
        <v>24</v>
      </c>
      <c r="I685">
        <v>0.86902895199999997</v>
      </c>
      <c r="J685">
        <v>0.95802849999999995</v>
      </c>
      <c r="K685">
        <f>IF(C685=C684,K684+1,1)</f>
        <v>1</v>
      </c>
      <c r="L685">
        <f>MIN(((374/K685)*I685),L686)</f>
        <v>60.843108990399998</v>
      </c>
      <c r="M685">
        <f>-LOG10(L685)</f>
        <v>-1.7842113977359475</v>
      </c>
    </row>
    <row r="686" spans="1:13" x14ac:dyDescent="0.2">
      <c r="A686" t="s">
        <v>65</v>
      </c>
      <c r="B686" t="s">
        <v>24</v>
      </c>
      <c r="C686" t="s">
        <v>25</v>
      </c>
      <c r="D686">
        <v>2.6721459999999999E-2</v>
      </c>
      <c r="E686" s="7">
        <f>ABS(D686)</f>
        <v>2.6721459999999999E-2</v>
      </c>
      <c r="F686">
        <v>0.16668338599999999</v>
      </c>
      <c r="G686">
        <v>146</v>
      </c>
      <c r="H686">
        <v>71</v>
      </c>
      <c r="I686">
        <v>0.87286100600000005</v>
      </c>
      <c r="J686">
        <v>0.95802849999999995</v>
      </c>
      <c r="K686">
        <f>IF(C686=C685,K685+1,1)</f>
        <v>2</v>
      </c>
      <c r="L686">
        <f>MIN(((374/K686)*I686),L687)</f>
        <v>60.843108990399998</v>
      </c>
      <c r="M686">
        <f>-LOG10(L686)</f>
        <v>-1.7842113977359475</v>
      </c>
    </row>
    <row r="687" spans="1:13" x14ac:dyDescent="0.2">
      <c r="A687" t="s">
        <v>380</v>
      </c>
      <c r="B687" t="s">
        <v>24</v>
      </c>
      <c r="C687" t="s">
        <v>25</v>
      </c>
      <c r="D687">
        <v>2.6599339999999999E-2</v>
      </c>
      <c r="E687" s="7">
        <f>ABS(D687)</f>
        <v>2.6599339999999999E-2</v>
      </c>
      <c r="F687">
        <v>0.142681261</v>
      </c>
      <c r="G687">
        <v>146</v>
      </c>
      <c r="H687">
        <v>38</v>
      </c>
      <c r="I687">
        <v>0.85237577200000003</v>
      </c>
      <c r="J687">
        <v>0.95408795700000004</v>
      </c>
      <c r="K687">
        <f>IF(C687=C686,K686+1,1)</f>
        <v>3</v>
      </c>
      <c r="L687">
        <f>MIN(((374/K687)*I687),L688)</f>
        <v>60.843108990399998</v>
      </c>
      <c r="M687">
        <f>-LOG10(L687)</f>
        <v>-1.7842113977359475</v>
      </c>
    </row>
    <row r="688" spans="1:13" x14ac:dyDescent="0.2">
      <c r="A688" t="s">
        <v>363</v>
      </c>
      <c r="B688" t="s">
        <v>24</v>
      </c>
      <c r="C688" t="s">
        <v>25</v>
      </c>
      <c r="D688">
        <v>-2.6503776E-2</v>
      </c>
      <c r="E688" s="7">
        <f>ABS(D688)</f>
        <v>2.6503776E-2</v>
      </c>
      <c r="F688">
        <v>9.4187641000000003E-2</v>
      </c>
      <c r="G688">
        <v>146</v>
      </c>
      <c r="H688">
        <v>17</v>
      </c>
      <c r="I688">
        <v>0.778815488</v>
      </c>
      <c r="J688">
        <v>0.93579157999999996</v>
      </c>
      <c r="K688">
        <f>IF(C688=C687,K687+1,1)</f>
        <v>4</v>
      </c>
      <c r="L688">
        <f>MIN(((374/K688)*I688),L689)</f>
        <v>60.843108990399998</v>
      </c>
      <c r="M688">
        <f>-LOG10(L688)</f>
        <v>-1.7842113977359475</v>
      </c>
    </row>
    <row r="689" spans="1:13" x14ac:dyDescent="0.2">
      <c r="A689" t="s">
        <v>350</v>
      </c>
      <c r="B689" t="s">
        <v>24</v>
      </c>
      <c r="C689" t="s">
        <v>25</v>
      </c>
      <c r="D689">
        <v>-2.5662854999999998E-2</v>
      </c>
      <c r="E689" s="7">
        <f>ABS(D689)</f>
        <v>2.5662854999999998E-2</v>
      </c>
      <c r="F689">
        <v>0.10852726</v>
      </c>
      <c r="G689">
        <v>146</v>
      </c>
      <c r="H689">
        <v>25</v>
      </c>
      <c r="I689">
        <v>0.81341054800000001</v>
      </c>
      <c r="J689">
        <v>0.94623808700000001</v>
      </c>
      <c r="K689">
        <f>IF(C689=C688,K688+1,1)</f>
        <v>5</v>
      </c>
      <c r="L689">
        <f>MIN(((374/K689)*I689),L690)</f>
        <v>60.843108990399998</v>
      </c>
      <c r="M689">
        <f>-LOG10(L689)</f>
        <v>-1.7842113977359475</v>
      </c>
    </row>
    <row r="690" spans="1:13" x14ac:dyDescent="0.2">
      <c r="A690" t="s">
        <v>369</v>
      </c>
      <c r="B690" t="s">
        <v>10</v>
      </c>
      <c r="C690" t="s">
        <v>11</v>
      </c>
      <c r="D690">
        <v>2.4929995E-2</v>
      </c>
      <c r="E690" s="7">
        <f>ABS(D690)</f>
        <v>2.4929995E-2</v>
      </c>
      <c r="F690">
        <v>0.49759785600000001</v>
      </c>
      <c r="G690">
        <v>146</v>
      </c>
      <c r="H690">
        <v>92</v>
      </c>
      <c r="I690">
        <v>0.96011206299999996</v>
      </c>
      <c r="J690">
        <v>0.98784569799999999</v>
      </c>
      <c r="K690">
        <f>IF(C690=C689,K689+1,1)</f>
        <v>1</v>
      </c>
      <c r="L690">
        <f>MIN(((374/K690)*I690),L691)</f>
        <v>70.793880823599991</v>
      </c>
      <c r="M690">
        <f>-LOG10(L690)</f>
        <v>-1.8499957204101845</v>
      </c>
    </row>
    <row r="691" spans="1:13" x14ac:dyDescent="0.2">
      <c r="A691" t="s">
        <v>362</v>
      </c>
      <c r="B691" t="s">
        <v>10</v>
      </c>
      <c r="C691" t="s">
        <v>11</v>
      </c>
      <c r="D691">
        <v>-2.4805002E-2</v>
      </c>
      <c r="E691" s="7">
        <f>ABS(D691)</f>
        <v>2.4805002E-2</v>
      </c>
      <c r="F691">
        <v>0.152620066</v>
      </c>
      <c r="G691">
        <v>146</v>
      </c>
      <c r="H691">
        <v>27</v>
      </c>
      <c r="I691">
        <v>0.87111968900000003</v>
      </c>
      <c r="J691">
        <v>0.95802849999999995</v>
      </c>
      <c r="K691">
        <f>IF(C691=C690,K690+1,1)</f>
        <v>2</v>
      </c>
      <c r="L691">
        <f>MIN(((374/K691)*I691),L692)</f>
        <v>70.793880823599991</v>
      </c>
      <c r="M691">
        <f>-LOG10(L691)</f>
        <v>-1.8499957204101845</v>
      </c>
    </row>
    <row r="692" spans="1:13" x14ac:dyDescent="0.2">
      <c r="A692" t="s">
        <v>359</v>
      </c>
      <c r="B692" t="s">
        <v>10</v>
      </c>
      <c r="C692" t="s">
        <v>11</v>
      </c>
      <c r="D692">
        <v>-2.3682978E-2</v>
      </c>
      <c r="E692" s="7">
        <f>ABS(D692)</f>
        <v>2.3682978E-2</v>
      </c>
      <c r="F692">
        <v>0.29722239499999997</v>
      </c>
      <c r="G692">
        <v>146</v>
      </c>
      <c r="H692">
        <v>52</v>
      </c>
      <c r="I692">
        <v>0.93660237000000002</v>
      </c>
      <c r="J692">
        <v>0.97846169400000005</v>
      </c>
      <c r="K692">
        <f>IF(C692=C691,K691+1,1)</f>
        <v>3</v>
      </c>
      <c r="L692">
        <f>MIN(((374/K692)*I692),L693)</f>
        <v>70.793880823599991</v>
      </c>
      <c r="M692">
        <f>-LOG10(L692)</f>
        <v>-1.8499957204101845</v>
      </c>
    </row>
    <row r="693" spans="1:13" x14ac:dyDescent="0.2">
      <c r="A693" t="s">
        <v>287</v>
      </c>
      <c r="B693" t="s">
        <v>24</v>
      </c>
      <c r="C693" t="s">
        <v>25</v>
      </c>
      <c r="D693">
        <v>-2.3409165999999999E-2</v>
      </c>
      <c r="E693" s="7">
        <f>ABS(D693)</f>
        <v>2.3409165999999999E-2</v>
      </c>
      <c r="F693">
        <v>0.123918084</v>
      </c>
      <c r="G693">
        <v>146</v>
      </c>
      <c r="H693">
        <v>16</v>
      </c>
      <c r="I693">
        <v>0.85043246100000003</v>
      </c>
      <c r="J693">
        <v>0.95408795700000004</v>
      </c>
      <c r="K693">
        <f>IF(C693=C692,K692+1,1)</f>
        <v>1</v>
      </c>
      <c r="L693">
        <f>MIN(((374/K693)*I693),L694)</f>
        <v>70.793880823599991</v>
      </c>
      <c r="M693">
        <f>-LOG10(L693)</f>
        <v>-1.8499957204101845</v>
      </c>
    </row>
    <row r="694" spans="1:13" x14ac:dyDescent="0.2">
      <c r="A694" t="s">
        <v>141</v>
      </c>
      <c r="B694" t="s">
        <v>24</v>
      </c>
      <c r="C694" t="s">
        <v>25</v>
      </c>
      <c r="D694">
        <v>2.248344E-2</v>
      </c>
      <c r="E694" s="7">
        <f>ABS(D694)</f>
        <v>2.248344E-2</v>
      </c>
      <c r="F694">
        <v>0.12987427400000001</v>
      </c>
      <c r="G694">
        <v>146</v>
      </c>
      <c r="H694">
        <v>21</v>
      </c>
      <c r="I694">
        <v>0.86280428899999995</v>
      </c>
      <c r="J694">
        <v>0.95753354300000004</v>
      </c>
      <c r="K694">
        <f>IF(C694=C693,K693+1,1)</f>
        <v>2</v>
      </c>
      <c r="L694">
        <f>MIN(((374/K694)*I694),L695)</f>
        <v>70.793880823599991</v>
      </c>
      <c r="M694">
        <f>-LOG10(L694)</f>
        <v>-1.8499957204101845</v>
      </c>
    </row>
    <row r="695" spans="1:13" x14ac:dyDescent="0.2">
      <c r="A695" t="s">
        <v>383</v>
      </c>
      <c r="B695" t="s">
        <v>24</v>
      </c>
      <c r="C695" t="s">
        <v>25</v>
      </c>
      <c r="D695">
        <v>-2.2308710999999998E-2</v>
      </c>
      <c r="E695" s="7">
        <f>ABS(D695)</f>
        <v>2.2308710999999998E-2</v>
      </c>
      <c r="F695">
        <v>0.14100932199999999</v>
      </c>
      <c r="G695">
        <v>146</v>
      </c>
      <c r="H695">
        <v>36</v>
      </c>
      <c r="I695">
        <v>0.87451660499999995</v>
      </c>
      <c r="J695">
        <v>0.95802849999999995</v>
      </c>
      <c r="K695">
        <f>IF(C695=C694,K694+1,1)</f>
        <v>3</v>
      </c>
      <c r="L695">
        <f>MIN(((374/K695)*I695),L696)</f>
        <v>70.793880823599991</v>
      </c>
      <c r="M695">
        <f>-LOG10(L695)</f>
        <v>-1.8499957204101845</v>
      </c>
    </row>
    <row r="696" spans="1:13" x14ac:dyDescent="0.2">
      <c r="A696" t="s">
        <v>169</v>
      </c>
      <c r="B696" t="s">
        <v>10</v>
      </c>
      <c r="C696" t="s">
        <v>11</v>
      </c>
      <c r="D696">
        <v>2.1990366000000001E-2</v>
      </c>
      <c r="E696" s="7">
        <f>ABS(D696)</f>
        <v>2.1990366000000001E-2</v>
      </c>
      <c r="F696">
        <v>0.36196962900000001</v>
      </c>
      <c r="G696">
        <v>146</v>
      </c>
      <c r="H696">
        <v>44</v>
      </c>
      <c r="I696">
        <v>0.95164157000000005</v>
      </c>
      <c r="J696">
        <v>0.98656005999999996</v>
      </c>
      <c r="K696">
        <f>IF(C696=C695,K695+1,1)</f>
        <v>1</v>
      </c>
      <c r="L696">
        <f>MIN(((374/K696)*I696),L697)</f>
        <v>70.793880823599991</v>
      </c>
      <c r="M696">
        <f>-LOG10(L696)</f>
        <v>-1.8499957204101845</v>
      </c>
    </row>
    <row r="697" spans="1:13" x14ac:dyDescent="0.2">
      <c r="A697" t="s">
        <v>360</v>
      </c>
      <c r="B697" t="s">
        <v>10</v>
      </c>
      <c r="C697" t="s">
        <v>11</v>
      </c>
      <c r="D697">
        <v>-2.1565567000000001E-2</v>
      </c>
      <c r="E697" s="7">
        <f>ABS(D697)</f>
        <v>2.1565567000000001E-2</v>
      </c>
      <c r="F697">
        <v>0.19457284399999999</v>
      </c>
      <c r="G697">
        <v>146</v>
      </c>
      <c r="H697">
        <v>21</v>
      </c>
      <c r="I697">
        <v>0.91190224900000005</v>
      </c>
      <c r="J697">
        <v>0.96752181800000003</v>
      </c>
      <c r="K697">
        <f>IF(C697=C696,K696+1,1)</f>
        <v>2</v>
      </c>
      <c r="L697">
        <f>MIN(((374/K697)*I697),L698)</f>
        <v>70.793880823599991</v>
      </c>
      <c r="M697">
        <f>-LOG10(L697)</f>
        <v>-1.8499957204101845</v>
      </c>
    </row>
    <row r="698" spans="1:13" x14ac:dyDescent="0.2">
      <c r="A698" t="s">
        <v>33</v>
      </c>
      <c r="B698" t="s">
        <v>24</v>
      </c>
      <c r="C698" t="s">
        <v>25</v>
      </c>
      <c r="D698">
        <v>-2.1342732999999999E-2</v>
      </c>
      <c r="E698" s="7">
        <f>ABS(D698)</f>
        <v>2.1342732999999999E-2</v>
      </c>
      <c r="F698">
        <v>0.18973005100000001</v>
      </c>
      <c r="G698">
        <v>146</v>
      </c>
      <c r="H698">
        <v>66</v>
      </c>
      <c r="I698">
        <v>0.91059265599999994</v>
      </c>
      <c r="J698">
        <v>0.96750469699999997</v>
      </c>
      <c r="K698">
        <f>IF(C698=C697,K697+1,1)</f>
        <v>1</v>
      </c>
      <c r="L698">
        <f>MIN(((374/K698)*I698),L699)</f>
        <v>70.793880823599991</v>
      </c>
      <c r="M698">
        <f>-LOG10(L698)</f>
        <v>-1.8499957204101845</v>
      </c>
    </row>
    <row r="699" spans="1:13" x14ac:dyDescent="0.2">
      <c r="A699" t="s">
        <v>327</v>
      </c>
      <c r="B699" t="s">
        <v>24</v>
      </c>
      <c r="C699" t="s">
        <v>25</v>
      </c>
      <c r="D699">
        <v>-1.9303032000000001E-2</v>
      </c>
      <c r="E699" s="7">
        <f>ABS(D699)</f>
        <v>1.9303032000000001E-2</v>
      </c>
      <c r="F699">
        <v>9.5714618000000001E-2</v>
      </c>
      <c r="G699">
        <v>146</v>
      </c>
      <c r="H699">
        <v>18</v>
      </c>
      <c r="I699">
        <v>0.84045915100000002</v>
      </c>
      <c r="J699">
        <v>0.95264123300000003</v>
      </c>
      <c r="K699">
        <f>IF(C699=C698,K698+1,1)</f>
        <v>2</v>
      </c>
      <c r="L699">
        <f>MIN(((374/K699)*I699),L700)</f>
        <v>70.793880823599991</v>
      </c>
      <c r="M699">
        <f>-LOG10(L699)</f>
        <v>-1.8499957204101845</v>
      </c>
    </row>
    <row r="700" spans="1:13" x14ac:dyDescent="0.2">
      <c r="A700" t="s">
        <v>283</v>
      </c>
      <c r="B700" t="s">
        <v>10</v>
      </c>
      <c r="C700" t="s">
        <v>11</v>
      </c>
      <c r="D700">
        <v>-1.9272269000000002E-2</v>
      </c>
      <c r="E700" s="7">
        <f>ABS(D700)</f>
        <v>1.9272269000000002E-2</v>
      </c>
      <c r="F700">
        <v>0.226918865</v>
      </c>
      <c r="G700">
        <v>146</v>
      </c>
      <c r="H700">
        <v>27</v>
      </c>
      <c r="I700">
        <v>0.93243565500000003</v>
      </c>
      <c r="J700">
        <v>0.97547114700000004</v>
      </c>
      <c r="K700">
        <f>IF(C700=C699,K699+1,1)</f>
        <v>1</v>
      </c>
      <c r="L700">
        <f>MIN(((374/K700)*I700),L701)</f>
        <v>70.793880823599991</v>
      </c>
      <c r="M700">
        <f>-LOG10(L700)</f>
        <v>-1.8499957204101845</v>
      </c>
    </row>
    <row r="701" spans="1:13" x14ac:dyDescent="0.2">
      <c r="A701" t="s">
        <v>84</v>
      </c>
      <c r="B701" t="s">
        <v>10</v>
      </c>
      <c r="C701" t="s">
        <v>11</v>
      </c>
      <c r="D701">
        <v>-1.9231833E-2</v>
      </c>
      <c r="E701" s="7">
        <f>ABS(D701)</f>
        <v>1.9231833E-2</v>
      </c>
      <c r="F701">
        <v>0.209295236</v>
      </c>
      <c r="G701">
        <v>146</v>
      </c>
      <c r="H701">
        <v>42</v>
      </c>
      <c r="I701">
        <v>0.926915198</v>
      </c>
      <c r="J701">
        <v>0.97515129099999998</v>
      </c>
      <c r="K701">
        <f>IF(C701=C700,K700+1,1)</f>
        <v>2</v>
      </c>
      <c r="L701">
        <f>MIN(((374/K701)*I701),L702)</f>
        <v>70.793880823599991</v>
      </c>
      <c r="M701">
        <f>-LOG10(L701)</f>
        <v>-1.8499957204101845</v>
      </c>
    </row>
    <row r="702" spans="1:13" x14ac:dyDescent="0.2">
      <c r="A702" t="s">
        <v>267</v>
      </c>
      <c r="B702" t="s">
        <v>24</v>
      </c>
      <c r="C702" t="s">
        <v>25</v>
      </c>
      <c r="D702">
        <v>1.9078900999999999E-2</v>
      </c>
      <c r="E702" s="7">
        <f>ABS(D702)</f>
        <v>1.9078900999999999E-2</v>
      </c>
      <c r="F702">
        <v>9.5557162000000001E-2</v>
      </c>
      <c r="G702">
        <v>146</v>
      </c>
      <c r="H702">
        <v>17</v>
      </c>
      <c r="I702">
        <v>0.84203047799999997</v>
      </c>
      <c r="J702">
        <v>0.95264123300000003</v>
      </c>
      <c r="K702">
        <f>IF(C702=C701,K701+1,1)</f>
        <v>1</v>
      </c>
      <c r="L702">
        <f>MIN(((374/K702)*I702),L703)</f>
        <v>70.793880823599991</v>
      </c>
      <c r="M702">
        <f>-LOG10(L702)</f>
        <v>-1.8499957204101845</v>
      </c>
    </row>
    <row r="703" spans="1:13" x14ac:dyDescent="0.2">
      <c r="A703" t="s">
        <v>266</v>
      </c>
      <c r="B703" t="s">
        <v>10</v>
      </c>
      <c r="C703" t="s">
        <v>11</v>
      </c>
      <c r="D703">
        <v>-1.8830400000000001E-2</v>
      </c>
      <c r="E703" s="7">
        <f>ABS(D703)</f>
        <v>1.8830400000000001E-2</v>
      </c>
      <c r="F703">
        <v>0.122611962</v>
      </c>
      <c r="G703">
        <v>146</v>
      </c>
      <c r="H703">
        <v>26</v>
      </c>
      <c r="I703">
        <v>0.87815964199999996</v>
      </c>
      <c r="J703">
        <v>0.95802849999999995</v>
      </c>
      <c r="K703">
        <f>IF(C703=C702,K702+1,1)</f>
        <v>1</v>
      </c>
      <c r="L703">
        <f>MIN(((374/K703)*I703),L704)</f>
        <v>70.793880823599991</v>
      </c>
      <c r="M703">
        <f>-LOG10(L703)</f>
        <v>-1.8499957204101845</v>
      </c>
    </row>
    <row r="704" spans="1:13" x14ac:dyDescent="0.2">
      <c r="A704" t="s">
        <v>331</v>
      </c>
      <c r="B704" t="s">
        <v>24</v>
      </c>
      <c r="C704" t="s">
        <v>25</v>
      </c>
      <c r="D704">
        <v>-1.7553471000000001E-2</v>
      </c>
      <c r="E704" s="7">
        <f>ABS(D704)</f>
        <v>1.7553471000000001E-2</v>
      </c>
      <c r="F704">
        <v>7.3966071999999994E-2</v>
      </c>
      <c r="G704">
        <v>146</v>
      </c>
      <c r="H704">
        <v>15</v>
      </c>
      <c r="I704">
        <v>0.81274985200000005</v>
      </c>
      <c r="J704">
        <v>0.94623808700000001</v>
      </c>
      <c r="K704">
        <f>IF(C704=C703,K703+1,1)</f>
        <v>1</v>
      </c>
      <c r="L704">
        <f>MIN(((374/K704)*I704),L705)</f>
        <v>70.793880823599991</v>
      </c>
      <c r="M704">
        <f>-LOG10(L704)</f>
        <v>-1.8499957204101845</v>
      </c>
    </row>
    <row r="705" spans="1:13" x14ac:dyDescent="0.2">
      <c r="A705" t="s">
        <v>356</v>
      </c>
      <c r="B705" t="s">
        <v>24</v>
      </c>
      <c r="C705" t="s">
        <v>25</v>
      </c>
      <c r="D705">
        <v>-1.7126598999999999E-2</v>
      </c>
      <c r="E705" s="7">
        <f>ABS(D705)</f>
        <v>1.7126598999999999E-2</v>
      </c>
      <c r="F705">
        <v>0.12922997899999999</v>
      </c>
      <c r="G705">
        <v>146</v>
      </c>
      <c r="H705">
        <v>23</v>
      </c>
      <c r="I705">
        <v>0.89475292500000003</v>
      </c>
      <c r="J705">
        <v>0.96407265099999995</v>
      </c>
      <c r="K705">
        <f>IF(C705=C704,K704+1,1)</f>
        <v>2</v>
      </c>
      <c r="L705">
        <f>MIN(((374/K705)*I705),L706)</f>
        <v>70.793880823599991</v>
      </c>
      <c r="M705">
        <f>-LOG10(L705)</f>
        <v>-1.8499957204101845</v>
      </c>
    </row>
    <row r="706" spans="1:13" x14ac:dyDescent="0.2">
      <c r="A706" t="s">
        <v>358</v>
      </c>
      <c r="B706" t="s">
        <v>10</v>
      </c>
      <c r="C706" t="s">
        <v>11</v>
      </c>
      <c r="D706">
        <v>1.7117139999999999E-2</v>
      </c>
      <c r="E706" s="7">
        <f>ABS(D706)</f>
        <v>1.7117139999999999E-2</v>
      </c>
      <c r="F706">
        <v>0.12752957600000001</v>
      </c>
      <c r="G706">
        <v>146</v>
      </c>
      <c r="H706">
        <v>23</v>
      </c>
      <c r="I706">
        <v>0.89341658499999999</v>
      </c>
      <c r="J706">
        <v>0.96407265099999995</v>
      </c>
      <c r="K706">
        <f>IF(C706=C705,K705+1,1)</f>
        <v>1</v>
      </c>
      <c r="L706">
        <f>MIN(((374/K706)*I706),L707)</f>
        <v>70.793880823599991</v>
      </c>
      <c r="M706">
        <f>-LOG10(L706)</f>
        <v>-1.8499957204101845</v>
      </c>
    </row>
    <row r="707" spans="1:13" x14ac:dyDescent="0.2">
      <c r="A707" t="s">
        <v>306</v>
      </c>
      <c r="B707" t="s">
        <v>24</v>
      </c>
      <c r="C707" t="s">
        <v>25</v>
      </c>
      <c r="D707">
        <v>1.6757299E-2</v>
      </c>
      <c r="E707" s="7">
        <f>ABS(D707)</f>
        <v>1.6757299E-2</v>
      </c>
      <c r="F707">
        <v>0.119120648</v>
      </c>
      <c r="G707">
        <v>146</v>
      </c>
      <c r="H707">
        <v>19</v>
      </c>
      <c r="I707">
        <v>0.88832464700000002</v>
      </c>
      <c r="J707">
        <v>0.96299541399999999</v>
      </c>
      <c r="K707">
        <f>IF(C707=C706,K706+1,1)</f>
        <v>1</v>
      </c>
      <c r="L707">
        <f>MIN(((374/K707)*I707),L708)</f>
        <v>70.793880823599991</v>
      </c>
      <c r="M707">
        <f>-LOG10(L707)</f>
        <v>-1.8499957204101845</v>
      </c>
    </row>
    <row r="708" spans="1:13" x14ac:dyDescent="0.2">
      <c r="A708" t="s">
        <v>338</v>
      </c>
      <c r="B708" t="s">
        <v>10</v>
      </c>
      <c r="C708" t="s">
        <v>11</v>
      </c>
      <c r="D708">
        <v>1.6178362000000002E-2</v>
      </c>
      <c r="E708" s="7">
        <f>ABS(D708)</f>
        <v>1.6178362000000002E-2</v>
      </c>
      <c r="F708">
        <v>0.12829347899999999</v>
      </c>
      <c r="G708">
        <v>146</v>
      </c>
      <c r="H708">
        <v>23</v>
      </c>
      <c r="I708">
        <v>0.89982647299999996</v>
      </c>
      <c r="J708">
        <v>0.965352498</v>
      </c>
      <c r="K708">
        <f>IF(C708=C707,K707+1,1)</f>
        <v>1</v>
      </c>
      <c r="L708">
        <f>MIN(((374/K708)*I708),L709)</f>
        <v>70.793880823599991</v>
      </c>
      <c r="M708">
        <f>-LOG10(L708)</f>
        <v>-1.8499957204101845</v>
      </c>
    </row>
    <row r="709" spans="1:13" x14ac:dyDescent="0.2">
      <c r="A709" t="s">
        <v>238</v>
      </c>
      <c r="B709" t="s">
        <v>24</v>
      </c>
      <c r="C709" t="s">
        <v>25</v>
      </c>
      <c r="D709">
        <v>-1.6139141999999999E-2</v>
      </c>
      <c r="E709" s="7">
        <f>ABS(D709)</f>
        <v>1.6139141999999999E-2</v>
      </c>
      <c r="F709">
        <v>9.7312728000000001E-2</v>
      </c>
      <c r="G709">
        <v>146</v>
      </c>
      <c r="H709">
        <v>18</v>
      </c>
      <c r="I709">
        <v>0.86851065000000005</v>
      </c>
      <c r="J709">
        <v>0.95802849999999995</v>
      </c>
      <c r="K709">
        <f>IF(C709=C708,K708+1,1)</f>
        <v>1</v>
      </c>
      <c r="L709">
        <f>MIN(((374/K709)*I709),L710)</f>
        <v>70.793880823599991</v>
      </c>
      <c r="M709">
        <f>-LOG10(L709)</f>
        <v>-1.8499957204101845</v>
      </c>
    </row>
    <row r="710" spans="1:13" x14ac:dyDescent="0.2">
      <c r="A710" t="s">
        <v>379</v>
      </c>
      <c r="B710" t="s">
        <v>24</v>
      </c>
      <c r="C710" t="s">
        <v>25</v>
      </c>
      <c r="D710">
        <v>1.6091127E-2</v>
      </c>
      <c r="E710" s="7">
        <f>ABS(D710)</f>
        <v>1.6091127E-2</v>
      </c>
      <c r="F710">
        <v>0.24386354299999999</v>
      </c>
      <c r="G710">
        <v>146</v>
      </c>
      <c r="H710">
        <v>88</v>
      </c>
      <c r="I710">
        <v>0.94748261</v>
      </c>
      <c r="J710">
        <v>0.98656005999999996</v>
      </c>
      <c r="K710">
        <f>IF(C710=C709,K709+1,1)</f>
        <v>2</v>
      </c>
      <c r="L710">
        <f>MIN(((374/K710)*I710),L711)</f>
        <v>70.793880823599991</v>
      </c>
      <c r="M710">
        <f>-LOG10(L710)</f>
        <v>-1.8499957204101845</v>
      </c>
    </row>
    <row r="711" spans="1:13" x14ac:dyDescent="0.2">
      <c r="A711" t="s">
        <v>36</v>
      </c>
      <c r="B711" t="s">
        <v>24</v>
      </c>
      <c r="C711" t="s">
        <v>25</v>
      </c>
      <c r="D711">
        <v>1.5534522E-2</v>
      </c>
      <c r="E711" s="7">
        <f>ABS(D711)</f>
        <v>1.5534522E-2</v>
      </c>
      <c r="F711">
        <v>0.15644018900000001</v>
      </c>
      <c r="G711">
        <v>146</v>
      </c>
      <c r="H711">
        <v>40</v>
      </c>
      <c r="I711">
        <v>0.92103908899999998</v>
      </c>
      <c r="J711">
        <v>0.97170273399999996</v>
      </c>
      <c r="K711">
        <f>IF(C711=C710,K710+1,1)</f>
        <v>3</v>
      </c>
      <c r="L711">
        <f>MIN(((374/K711)*I711),L712)</f>
        <v>70.793880823599991</v>
      </c>
      <c r="M711">
        <f>-LOG10(L711)</f>
        <v>-1.8499957204101845</v>
      </c>
    </row>
    <row r="712" spans="1:13" x14ac:dyDescent="0.2">
      <c r="A712" t="s">
        <v>295</v>
      </c>
      <c r="B712" t="s">
        <v>24</v>
      </c>
      <c r="C712" t="s">
        <v>25</v>
      </c>
      <c r="D712">
        <v>1.5228383999999999E-2</v>
      </c>
      <c r="E712" s="7">
        <f>ABS(D712)</f>
        <v>1.5228383999999999E-2</v>
      </c>
      <c r="F712">
        <v>0.14876931299999999</v>
      </c>
      <c r="G712">
        <v>146</v>
      </c>
      <c r="H712">
        <v>33</v>
      </c>
      <c r="I712">
        <v>0.91861242600000004</v>
      </c>
      <c r="J712">
        <v>0.97051143299999998</v>
      </c>
      <c r="K712">
        <f>IF(C712=C711,K711+1,1)</f>
        <v>4</v>
      </c>
      <c r="L712">
        <f>MIN(((374/K712)*I712),L713)</f>
        <v>70.793880823599991</v>
      </c>
      <c r="M712">
        <f>-LOG10(L712)</f>
        <v>-1.8499957204101845</v>
      </c>
    </row>
    <row r="713" spans="1:13" x14ac:dyDescent="0.2">
      <c r="A713" t="s">
        <v>215</v>
      </c>
      <c r="B713" t="s">
        <v>24</v>
      </c>
      <c r="C713" t="s">
        <v>25</v>
      </c>
      <c r="D713">
        <v>-1.5161050000000001E-2</v>
      </c>
      <c r="E713" s="7">
        <f>ABS(D713)</f>
        <v>1.5161050000000001E-2</v>
      </c>
      <c r="F713">
        <v>0.22529827099999999</v>
      </c>
      <c r="G713">
        <v>146</v>
      </c>
      <c r="H713">
        <v>93</v>
      </c>
      <c r="I713">
        <v>0.94644225699999995</v>
      </c>
      <c r="J713">
        <v>0.98656005999999996</v>
      </c>
      <c r="K713">
        <f>IF(C713=C712,K712+1,1)</f>
        <v>5</v>
      </c>
      <c r="L713">
        <f>MIN(((374/K713)*I713),L714)</f>
        <v>70.793880823599991</v>
      </c>
      <c r="M713">
        <f>-LOG10(L713)</f>
        <v>-1.8499957204101845</v>
      </c>
    </row>
    <row r="714" spans="1:13" x14ac:dyDescent="0.2">
      <c r="A714" t="s">
        <v>299</v>
      </c>
      <c r="B714" t="s">
        <v>10</v>
      </c>
      <c r="C714" t="s">
        <v>11</v>
      </c>
      <c r="D714">
        <v>1.4559419000000001E-2</v>
      </c>
      <c r="E714" s="7">
        <f>ABS(D714)</f>
        <v>1.4559419000000001E-2</v>
      </c>
      <c r="F714">
        <v>0.141101427</v>
      </c>
      <c r="G714">
        <v>146</v>
      </c>
      <c r="H714">
        <v>24</v>
      </c>
      <c r="I714">
        <v>0.91796144899999998</v>
      </c>
      <c r="J714">
        <v>0.97051143299999998</v>
      </c>
      <c r="K714">
        <f>IF(C714=C713,K713+1,1)</f>
        <v>1</v>
      </c>
      <c r="L714">
        <f>MIN(((374/K714)*I714),L715)</f>
        <v>84.26995245900001</v>
      </c>
      <c r="M714">
        <f>-LOG10(L714)</f>
        <v>-1.9256727489135297</v>
      </c>
    </row>
    <row r="715" spans="1:13" x14ac:dyDescent="0.2">
      <c r="A715" t="s">
        <v>247</v>
      </c>
      <c r="B715" t="s">
        <v>24</v>
      </c>
      <c r="C715" t="s">
        <v>25</v>
      </c>
      <c r="D715">
        <v>-1.4421951000000001E-2</v>
      </c>
      <c r="E715" s="7">
        <f>ABS(D715)</f>
        <v>1.4421951000000001E-2</v>
      </c>
      <c r="F715">
        <v>0.16492034</v>
      </c>
      <c r="G715">
        <v>146</v>
      </c>
      <c r="H715">
        <v>20</v>
      </c>
      <c r="I715">
        <v>0.930437768</v>
      </c>
      <c r="J715">
        <v>0.97521877599999995</v>
      </c>
      <c r="K715">
        <f>IF(C715=C714,K714+1,1)</f>
        <v>1</v>
      </c>
      <c r="L715">
        <f>MIN(((374/K715)*I715),L716)</f>
        <v>84.26995245900001</v>
      </c>
      <c r="M715">
        <f>-LOG10(L715)</f>
        <v>-1.9256727489135297</v>
      </c>
    </row>
    <row r="716" spans="1:13" x14ac:dyDescent="0.2">
      <c r="A716" t="s">
        <v>290</v>
      </c>
      <c r="B716" t="s">
        <v>24</v>
      </c>
      <c r="C716" t="s">
        <v>25</v>
      </c>
      <c r="D716">
        <v>-1.3641778E-2</v>
      </c>
      <c r="E716" s="7">
        <f>ABS(D716)</f>
        <v>1.3641778E-2</v>
      </c>
      <c r="F716">
        <v>8.9166212999999994E-2</v>
      </c>
      <c r="G716">
        <v>146</v>
      </c>
      <c r="H716">
        <v>17</v>
      </c>
      <c r="I716">
        <v>0.87861972099999996</v>
      </c>
      <c r="J716">
        <v>0.95802849999999995</v>
      </c>
      <c r="K716">
        <f>IF(C716=C715,K715+1,1)</f>
        <v>2</v>
      </c>
      <c r="L716">
        <f>MIN(((374/K716)*I716),L717)</f>
        <v>84.26995245900001</v>
      </c>
      <c r="M716">
        <f>-LOG10(L716)</f>
        <v>-1.9256727489135297</v>
      </c>
    </row>
    <row r="717" spans="1:13" x14ac:dyDescent="0.2">
      <c r="A717" t="s">
        <v>140</v>
      </c>
      <c r="B717" t="s">
        <v>24</v>
      </c>
      <c r="C717" t="s">
        <v>25</v>
      </c>
      <c r="D717">
        <v>1.3077511E-2</v>
      </c>
      <c r="E717" s="7">
        <f>ABS(D717)</f>
        <v>1.3077511E-2</v>
      </c>
      <c r="F717">
        <v>0.101860384</v>
      </c>
      <c r="G717">
        <v>146</v>
      </c>
      <c r="H717">
        <v>17</v>
      </c>
      <c r="I717">
        <v>0.89802339499999995</v>
      </c>
      <c r="J717">
        <v>0.96511709700000003</v>
      </c>
      <c r="K717">
        <f>IF(C717=C716,K716+1,1)</f>
        <v>3</v>
      </c>
      <c r="L717">
        <f>MIN(((374/K717)*I717),L718)</f>
        <v>84.26995245900001</v>
      </c>
      <c r="M717">
        <f>-LOG10(L717)</f>
        <v>-1.9256727489135297</v>
      </c>
    </row>
    <row r="718" spans="1:13" x14ac:dyDescent="0.2">
      <c r="A718" t="s">
        <v>385</v>
      </c>
      <c r="B718" t="s">
        <v>24</v>
      </c>
      <c r="C718" t="s">
        <v>25</v>
      </c>
      <c r="D718">
        <v>-1.2873598999999999E-2</v>
      </c>
      <c r="E718" s="7">
        <f>ABS(D718)</f>
        <v>1.2873598999999999E-2</v>
      </c>
      <c r="F718">
        <v>0.10360106099999999</v>
      </c>
      <c r="G718">
        <v>146</v>
      </c>
      <c r="H718">
        <v>19</v>
      </c>
      <c r="I718">
        <v>0.90128291400000005</v>
      </c>
      <c r="J718">
        <v>0.965352498</v>
      </c>
      <c r="K718">
        <f>IF(C718=C717,K717+1,1)</f>
        <v>4</v>
      </c>
      <c r="L718">
        <f>MIN(((374/K718)*I718),L719)</f>
        <v>84.26995245900001</v>
      </c>
      <c r="M718">
        <f>-LOG10(L718)</f>
        <v>-1.9256727489135297</v>
      </c>
    </row>
    <row r="719" spans="1:13" x14ac:dyDescent="0.2">
      <c r="A719" t="s">
        <v>370</v>
      </c>
      <c r="B719" t="s">
        <v>10</v>
      </c>
      <c r="C719" t="s">
        <v>11</v>
      </c>
      <c r="D719">
        <v>-1.2305785E-2</v>
      </c>
      <c r="E719" s="7">
        <f>ABS(D719)</f>
        <v>1.2305785E-2</v>
      </c>
      <c r="F719">
        <v>0.137481244</v>
      </c>
      <c r="G719">
        <v>146</v>
      </c>
      <c r="H719">
        <v>16</v>
      </c>
      <c r="I719">
        <v>0.92880277899999997</v>
      </c>
      <c r="J719">
        <v>0.97521877599999995</v>
      </c>
      <c r="K719">
        <f>IF(C719=C718,K718+1,1)</f>
        <v>1</v>
      </c>
      <c r="L719">
        <f>MIN(((374/K719)*I719),L720)</f>
        <v>122.506212158</v>
      </c>
      <c r="M719">
        <f>-LOG10(L719)</f>
        <v>-2.0881581118641024</v>
      </c>
    </row>
    <row r="720" spans="1:13" x14ac:dyDescent="0.2">
      <c r="A720" t="s">
        <v>289</v>
      </c>
      <c r="B720" t="s">
        <v>24</v>
      </c>
      <c r="C720" t="s">
        <v>25</v>
      </c>
      <c r="D720">
        <v>-1.1549653999999999E-2</v>
      </c>
      <c r="E720" s="7">
        <f>ABS(D720)</f>
        <v>1.1549653999999999E-2</v>
      </c>
      <c r="F720">
        <v>0.30814651399999998</v>
      </c>
      <c r="G720">
        <v>146</v>
      </c>
      <c r="H720">
        <v>43</v>
      </c>
      <c r="I720">
        <v>0.970153724</v>
      </c>
      <c r="J720">
        <v>0.99271543799999995</v>
      </c>
      <c r="K720">
        <f>IF(C720=C719,K719+1,1)</f>
        <v>1</v>
      </c>
      <c r="L720">
        <f>MIN(((374/K720)*I720),L721)</f>
        <v>122.506212158</v>
      </c>
      <c r="M720">
        <f>-LOG10(L720)</f>
        <v>-2.0881581118641024</v>
      </c>
    </row>
    <row r="721" spans="1:13" x14ac:dyDescent="0.2">
      <c r="A721" t="s">
        <v>364</v>
      </c>
      <c r="B721" t="s">
        <v>24</v>
      </c>
      <c r="C721" t="s">
        <v>25</v>
      </c>
      <c r="D721">
        <v>1.1494209E-2</v>
      </c>
      <c r="E721" s="7">
        <f>ABS(D721)</f>
        <v>1.1494209E-2</v>
      </c>
      <c r="F721">
        <v>9.5491452000000004E-2</v>
      </c>
      <c r="G721">
        <v>146</v>
      </c>
      <c r="H721">
        <v>17</v>
      </c>
      <c r="I721">
        <v>0.90435981399999998</v>
      </c>
      <c r="J721">
        <v>0.96565522000000004</v>
      </c>
      <c r="K721">
        <f>IF(C721=C720,K720+1,1)</f>
        <v>2</v>
      </c>
      <c r="L721">
        <f>MIN(((374/K721)*I721),L722)</f>
        <v>122.506212158</v>
      </c>
      <c r="M721">
        <f>-LOG10(L721)</f>
        <v>-2.0881581118641024</v>
      </c>
    </row>
    <row r="722" spans="1:13" x14ac:dyDescent="0.2">
      <c r="A722" t="s">
        <v>272</v>
      </c>
      <c r="B722" t="s">
        <v>10</v>
      </c>
      <c r="C722" t="s">
        <v>11</v>
      </c>
      <c r="D722">
        <v>1.1168281E-2</v>
      </c>
      <c r="E722" s="7">
        <f>ABS(D722)</f>
        <v>1.1168281E-2</v>
      </c>
      <c r="F722">
        <v>0.210880926</v>
      </c>
      <c r="G722">
        <v>146</v>
      </c>
      <c r="H722">
        <v>28</v>
      </c>
      <c r="I722">
        <v>0.95783759000000002</v>
      </c>
      <c r="J722">
        <v>0.98686297099999998</v>
      </c>
      <c r="K722">
        <f>IF(C722=C721,K721+1,1)</f>
        <v>1</v>
      </c>
      <c r="L722">
        <f>MIN(((374/K722)*I722),L723)</f>
        <v>122.506212158</v>
      </c>
      <c r="M722">
        <f>-LOG10(L722)</f>
        <v>-2.0881581118641024</v>
      </c>
    </row>
    <row r="723" spans="1:13" x14ac:dyDescent="0.2">
      <c r="A723" t="s">
        <v>226</v>
      </c>
      <c r="B723" t="s">
        <v>24</v>
      </c>
      <c r="C723" t="s">
        <v>25</v>
      </c>
      <c r="D723">
        <v>-1.0472126E-2</v>
      </c>
      <c r="E723" s="7">
        <f>ABS(D723)</f>
        <v>1.0472126E-2</v>
      </c>
      <c r="F723">
        <v>0.18831662499999999</v>
      </c>
      <c r="G723">
        <v>146</v>
      </c>
      <c r="H723">
        <v>35</v>
      </c>
      <c r="I723">
        <v>0.95573080399999999</v>
      </c>
      <c r="J723">
        <v>0.98686297099999998</v>
      </c>
      <c r="K723">
        <f>IF(C723=C722,K722+1,1)</f>
        <v>1</v>
      </c>
      <c r="L723">
        <f>MIN(((374/K723)*I723),L724)</f>
        <v>122.506212158</v>
      </c>
      <c r="M723">
        <f>-LOG10(L723)</f>
        <v>-2.0881581118641024</v>
      </c>
    </row>
    <row r="724" spans="1:13" x14ac:dyDescent="0.2">
      <c r="A724" t="s">
        <v>381</v>
      </c>
      <c r="B724" t="s">
        <v>10</v>
      </c>
      <c r="C724" t="s">
        <v>11</v>
      </c>
      <c r="D724">
        <v>9.9257459999999992E-3</v>
      </c>
      <c r="E724" s="7">
        <f>ABS(D724)</f>
        <v>9.9257459999999992E-3</v>
      </c>
      <c r="F724">
        <v>0.21708582800000001</v>
      </c>
      <c r="G724">
        <v>146</v>
      </c>
      <c r="H724">
        <v>24</v>
      </c>
      <c r="I724">
        <v>0.963595074</v>
      </c>
      <c r="J724">
        <v>0.99006746599999995</v>
      </c>
      <c r="K724">
        <f>IF(C724=C723,K723+1,1)</f>
        <v>1</v>
      </c>
      <c r="L724">
        <f>MIN(((374/K724)*I724),L725)</f>
        <v>122.506212158</v>
      </c>
      <c r="M724">
        <f>-LOG10(L724)</f>
        <v>-2.0881581118641024</v>
      </c>
    </row>
    <row r="725" spans="1:13" x14ac:dyDescent="0.2">
      <c r="A725" t="s">
        <v>255</v>
      </c>
      <c r="B725" t="s">
        <v>10</v>
      </c>
      <c r="C725" t="s">
        <v>11</v>
      </c>
      <c r="D725">
        <v>9.3616329999999994E-3</v>
      </c>
      <c r="E725" s="7">
        <f>ABS(D725)</f>
        <v>9.3616329999999994E-3</v>
      </c>
      <c r="F725">
        <v>0.28570512999999997</v>
      </c>
      <c r="G725">
        <v>146</v>
      </c>
      <c r="H725">
        <v>109</v>
      </c>
      <c r="I725">
        <v>0.97390627200000002</v>
      </c>
      <c r="J725">
        <v>0.99324564699999995</v>
      </c>
      <c r="K725">
        <f>IF(C725=C724,K724+1,1)</f>
        <v>2</v>
      </c>
      <c r="L725">
        <f>MIN(((374/K725)*I725),L726)</f>
        <v>122.506212158</v>
      </c>
      <c r="M725">
        <f>-LOG10(L725)</f>
        <v>-2.0881581118641024</v>
      </c>
    </row>
    <row r="726" spans="1:13" x14ac:dyDescent="0.2">
      <c r="A726" t="s">
        <v>368</v>
      </c>
      <c r="B726" t="s">
        <v>24</v>
      </c>
      <c r="C726" t="s">
        <v>25</v>
      </c>
      <c r="D726">
        <v>9.1757230000000002E-3</v>
      </c>
      <c r="E726" s="7">
        <f>ABS(D726)</f>
        <v>9.1757230000000002E-3</v>
      </c>
      <c r="F726">
        <v>0.14992991899999999</v>
      </c>
      <c r="G726">
        <v>146</v>
      </c>
      <c r="H726">
        <v>28</v>
      </c>
      <c r="I726">
        <v>0.95128531900000002</v>
      </c>
      <c r="J726">
        <v>0.98656005999999996</v>
      </c>
      <c r="K726">
        <f>IF(C726=C725,K725+1,1)</f>
        <v>1</v>
      </c>
      <c r="L726">
        <f>MIN(((374/K726)*I726),L727)</f>
        <v>122.506212158</v>
      </c>
      <c r="M726">
        <f>-LOG10(L726)</f>
        <v>-2.0881581118641024</v>
      </c>
    </row>
    <row r="727" spans="1:13" x14ac:dyDescent="0.2">
      <c r="A727" t="s">
        <v>233</v>
      </c>
      <c r="B727" t="s">
        <v>10</v>
      </c>
      <c r="C727" t="s">
        <v>11</v>
      </c>
      <c r="D727">
        <v>-8.6469219999999996E-3</v>
      </c>
      <c r="E727" s="7">
        <f>ABS(D727)</f>
        <v>8.6469219999999996E-3</v>
      </c>
      <c r="F727">
        <v>0.13450780600000001</v>
      </c>
      <c r="G727">
        <v>146</v>
      </c>
      <c r="H727">
        <v>20</v>
      </c>
      <c r="I727">
        <v>0.94883255700000002</v>
      </c>
      <c r="J727">
        <v>0.98656005999999996</v>
      </c>
      <c r="K727">
        <f>IF(C727=C726,K726+1,1)</f>
        <v>1</v>
      </c>
      <c r="L727">
        <f>MIN(((374/K727)*I727),L728)</f>
        <v>122.506212158</v>
      </c>
      <c r="M727">
        <f>-LOG10(L727)</f>
        <v>-2.0881581118641024</v>
      </c>
    </row>
    <row r="728" spans="1:13" x14ac:dyDescent="0.2">
      <c r="A728" t="s">
        <v>293</v>
      </c>
      <c r="B728" t="s">
        <v>24</v>
      </c>
      <c r="C728" t="s">
        <v>25</v>
      </c>
      <c r="D728">
        <v>8.1623170000000005E-3</v>
      </c>
      <c r="E728" s="7">
        <f>ABS(D728)</f>
        <v>8.1623170000000005E-3</v>
      </c>
      <c r="F728">
        <v>0.33057132299999997</v>
      </c>
      <c r="G728">
        <v>146</v>
      </c>
      <c r="H728">
        <v>122</v>
      </c>
      <c r="I728">
        <v>0.98033542200000001</v>
      </c>
      <c r="J728">
        <v>0.99407810699999999</v>
      </c>
      <c r="K728">
        <f>IF(C728=C727,K727+1,1)</f>
        <v>1</v>
      </c>
      <c r="L728">
        <f>MIN(((374/K728)*I728),L729)</f>
        <v>122.506212158</v>
      </c>
      <c r="M728">
        <f>-LOG10(L728)</f>
        <v>-2.0881581118641024</v>
      </c>
    </row>
    <row r="729" spans="1:13" x14ac:dyDescent="0.2">
      <c r="A729" t="s">
        <v>386</v>
      </c>
      <c r="B729" t="s">
        <v>24</v>
      </c>
      <c r="C729" t="s">
        <v>25</v>
      </c>
      <c r="D729">
        <v>-7.8877019999999999E-3</v>
      </c>
      <c r="E729" s="7">
        <f>ABS(D729)</f>
        <v>7.8877019999999999E-3</v>
      </c>
      <c r="F729">
        <v>8.3436923999999996E-2</v>
      </c>
      <c r="G729">
        <v>146</v>
      </c>
      <c r="H729">
        <v>17</v>
      </c>
      <c r="I729">
        <v>0.92481658700000002</v>
      </c>
      <c r="J729">
        <v>0.974313812</v>
      </c>
      <c r="K729">
        <f>IF(C729=C728,K728+1,1)</f>
        <v>2</v>
      </c>
      <c r="L729">
        <f>MIN(((374/K729)*I729),L730)</f>
        <v>122.506212158</v>
      </c>
      <c r="M729">
        <f>-LOG10(L729)</f>
        <v>-2.0881581118641024</v>
      </c>
    </row>
    <row r="730" spans="1:13" x14ac:dyDescent="0.2">
      <c r="A730" t="s">
        <v>376</v>
      </c>
      <c r="B730" t="s">
        <v>10</v>
      </c>
      <c r="C730" t="s">
        <v>11</v>
      </c>
      <c r="D730">
        <v>-7.8744799999999997E-3</v>
      </c>
      <c r="E730" s="7">
        <f>ABS(D730)</f>
        <v>7.8744799999999997E-3</v>
      </c>
      <c r="F730">
        <v>0.14440744</v>
      </c>
      <c r="G730">
        <v>146</v>
      </c>
      <c r="H730">
        <v>24</v>
      </c>
      <c r="I730">
        <v>0.95658933700000004</v>
      </c>
      <c r="J730">
        <v>0.98686297099999998</v>
      </c>
      <c r="K730">
        <f>IF(C730=C729,K729+1,1)</f>
        <v>1</v>
      </c>
      <c r="L730">
        <f>MIN(((374/K730)*I730),L731)</f>
        <v>122.506212158</v>
      </c>
      <c r="M730">
        <f>-LOG10(L730)</f>
        <v>-2.0881581118641024</v>
      </c>
    </row>
    <row r="731" spans="1:13" x14ac:dyDescent="0.2">
      <c r="A731" t="s">
        <v>357</v>
      </c>
      <c r="B731" t="s">
        <v>24</v>
      </c>
      <c r="C731" t="s">
        <v>25</v>
      </c>
      <c r="D731">
        <v>-7.7238749999999998E-3</v>
      </c>
      <c r="E731" s="7">
        <f>ABS(D731)</f>
        <v>7.7238749999999998E-3</v>
      </c>
      <c r="F731">
        <v>0.190733931</v>
      </c>
      <c r="G731">
        <v>146</v>
      </c>
      <c r="H731">
        <v>33</v>
      </c>
      <c r="I731">
        <v>0.96775454000000005</v>
      </c>
      <c r="J731">
        <v>0.99161698099999995</v>
      </c>
      <c r="K731">
        <f>IF(C731=C730,K730+1,1)</f>
        <v>1</v>
      </c>
      <c r="L731">
        <f>MIN(((374/K731)*I731),L732)</f>
        <v>122.506212158</v>
      </c>
      <c r="M731">
        <f>-LOG10(L731)</f>
        <v>-2.0881581118641024</v>
      </c>
    </row>
    <row r="732" spans="1:13" x14ac:dyDescent="0.2">
      <c r="A732" t="s">
        <v>294</v>
      </c>
      <c r="B732" t="s">
        <v>24</v>
      </c>
      <c r="C732" t="s">
        <v>25</v>
      </c>
      <c r="D732">
        <v>7.5004090000000004E-3</v>
      </c>
      <c r="E732" s="7">
        <f>ABS(D732)</f>
        <v>7.5004090000000004E-3</v>
      </c>
      <c r="F732">
        <v>0.134596085</v>
      </c>
      <c r="G732">
        <v>146</v>
      </c>
      <c r="H732">
        <v>32</v>
      </c>
      <c r="I732">
        <v>0.95563841900000002</v>
      </c>
      <c r="J732">
        <v>0.98686297099999998</v>
      </c>
      <c r="K732">
        <f>IF(C732=C731,K731+1,1)</f>
        <v>2</v>
      </c>
      <c r="L732">
        <f>MIN(((374/K732)*I732),L733)</f>
        <v>122.506212158</v>
      </c>
      <c r="M732">
        <f>-LOG10(L732)</f>
        <v>-2.0881581118641024</v>
      </c>
    </row>
    <row r="733" spans="1:13" x14ac:dyDescent="0.2">
      <c r="A733" t="s">
        <v>375</v>
      </c>
      <c r="B733" t="s">
        <v>24</v>
      </c>
      <c r="C733" t="s">
        <v>25</v>
      </c>
      <c r="D733">
        <v>-6.3921109999999998E-3</v>
      </c>
      <c r="E733" s="7">
        <f>ABS(D733)</f>
        <v>6.3921109999999998E-3</v>
      </c>
      <c r="F733">
        <v>0.29376211499999999</v>
      </c>
      <c r="G733">
        <v>146</v>
      </c>
      <c r="H733">
        <v>19</v>
      </c>
      <c r="I733">
        <v>0.98267015099999999</v>
      </c>
      <c r="J733">
        <v>0.99463771700000003</v>
      </c>
      <c r="K733">
        <f>IF(C733=C732,K732+1,1)</f>
        <v>3</v>
      </c>
      <c r="L733">
        <f>MIN(((374/K733)*I733),L734)</f>
        <v>122.506212158</v>
      </c>
      <c r="M733">
        <f>-LOG10(L733)</f>
        <v>-2.0881581118641024</v>
      </c>
    </row>
    <row r="734" spans="1:13" x14ac:dyDescent="0.2">
      <c r="A734" t="s">
        <v>380</v>
      </c>
      <c r="B734" t="s">
        <v>10</v>
      </c>
      <c r="C734" t="s">
        <v>11</v>
      </c>
      <c r="D734">
        <v>6.3798800000000001E-3</v>
      </c>
      <c r="E734" s="7">
        <f>ABS(D734)</f>
        <v>6.3798800000000001E-3</v>
      </c>
      <c r="F734">
        <v>0.15264662600000001</v>
      </c>
      <c r="G734">
        <v>146</v>
      </c>
      <c r="H734">
        <v>38</v>
      </c>
      <c r="I734">
        <v>0.96672034699999998</v>
      </c>
      <c r="J734">
        <v>0.99161698099999995</v>
      </c>
      <c r="K734">
        <f>IF(C734=C733,K733+1,1)</f>
        <v>1</v>
      </c>
      <c r="L734">
        <f>MIN(((374/K734)*I734),L735)</f>
        <v>122.90303712866667</v>
      </c>
      <c r="M734">
        <f>-LOG10(L734)</f>
        <v>-2.089562615123421</v>
      </c>
    </row>
    <row r="735" spans="1:13" x14ac:dyDescent="0.2">
      <c r="A735" t="s">
        <v>384</v>
      </c>
      <c r="B735" t="s">
        <v>24</v>
      </c>
      <c r="C735" t="s">
        <v>25</v>
      </c>
      <c r="D735">
        <v>-6.3464860000000001E-3</v>
      </c>
      <c r="E735" s="7">
        <f>ABS(D735)</f>
        <v>6.3464860000000001E-3</v>
      </c>
      <c r="F735">
        <v>0.218024415</v>
      </c>
      <c r="G735">
        <v>146</v>
      </c>
      <c r="H735">
        <v>51</v>
      </c>
      <c r="I735">
        <v>0.976818195</v>
      </c>
      <c r="J735">
        <v>0.99407810699999999</v>
      </c>
      <c r="K735">
        <f>IF(C735=C734,K734+1,1)</f>
        <v>1</v>
      </c>
      <c r="L735">
        <f>MIN(((374/K735)*I735),L736)</f>
        <v>122.90303712866667</v>
      </c>
      <c r="M735">
        <f>-LOG10(L735)</f>
        <v>-2.089562615123421</v>
      </c>
    </row>
    <row r="736" spans="1:13" x14ac:dyDescent="0.2">
      <c r="A736" t="s">
        <v>300</v>
      </c>
      <c r="B736" t="s">
        <v>24</v>
      </c>
      <c r="C736" t="s">
        <v>25</v>
      </c>
      <c r="D736">
        <v>5.7698760000000002E-3</v>
      </c>
      <c r="E736" s="7">
        <f>ABS(D736)</f>
        <v>5.7698760000000002E-3</v>
      </c>
      <c r="F736">
        <v>9.6222009999999997E-2</v>
      </c>
      <c r="G736">
        <v>146</v>
      </c>
      <c r="H736">
        <v>19</v>
      </c>
      <c r="I736">
        <v>0.95226786500000005</v>
      </c>
      <c r="J736">
        <v>0.98656005999999996</v>
      </c>
      <c r="K736">
        <f>IF(C736=C735,K735+1,1)</f>
        <v>2</v>
      </c>
      <c r="L736">
        <f>MIN(((374/K736)*I736),L737)</f>
        <v>122.90303712866667</v>
      </c>
      <c r="M736">
        <f>-LOG10(L736)</f>
        <v>-2.089562615123421</v>
      </c>
    </row>
    <row r="737" spans="1:13" x14ac:dyDescent="0.2">
      <c r="A737" t="s">
        <v>323</v>
      </c>
      <c r="B737" t="s">
        <v>24</v>
      </c>
      <c r="C737" t="s">
        <v>25</v>
      </c>
      <c r="D737">
        <v>5.0061649999999999E-3</v>
      </c>
      <c r="E737" s="7">
        <f>ABS(D737)</f>
        <v>5.0061649999999999E-3</v>
      </c>
      <c r="F737">
        <v>0.28184217499999997</v>
      </c>
      <c r="G737">
        <v>146</v>
      </c>
      <c r="H737">
        <v>44</v>
      </c>
      <c r="I737">
        <v>0.98585323899999999</v>
      </c>
      <c r="J737">
        <v>0.99516629199999995</v>
      </c>
      <c r="K737">
        <f>IF(C737=C736,K736+1,1)</f>
        <v>3</v>
      </c>
      <c r="L737">
        <f>MIN(((374/K737)*I737),L738)</f>
        <v>122.90303712866667</v>
      </c>
      <c r="M737">
        <f>-LOG10(L737)</f>
        <v>-2.089562615123421</v>
      </c>
    </row>
    <row r="738" spans="1:13" x14ac:dyDescent="0.2">
      <c r="A738" t="s">
        <v>346</v>
      </c>
      <c r="B738" t="s">
        <v>10</v>
      </c>
      <c r="C738" t="s">
        <v>11</v>
      </c>
      <c r="D738">
        <v>-4.9145279999999996E-3</v>
      </c>
      <c r="E738" s="7">
        <f>ABS(D738)</f>
        <v>4.9145279999999996E-3</v>
      </c>
      <c r="F738">
        <v>0.203729679</v>
      </c>
      <c r="G738">
        <v>146</v>
      </c>
      <c r="H738">
        <v>23</v>
      </c>
      <c r="I738">
        <v>0.98078829300000003</v>
      </c>
      <c r="J738">
        <v>0.99407810699999999</v>
      </c>
      <c r="K738">
        <f>IF(C738=C737,K737+1,1)</f>
        <v>1</v>
      </c>
      <c r="L738">
        <f>MIN(((374/K738)*I738),L739)</f>
        <v>182.05907478</v>
      </c>
      <c r="M738">
        <f>-LOG10(L738)</f>
        <v>-2.2602123313262856</v>
      </c>
    </row>
    <row r="739" spans="1:13" x14ac:dyDescent="0.2">
      <c r="A739" t="s">
        <v>383</v>
      </c>
      <c r="B739" t="s">
        <v>10</v>
      </c>
      <c r="C739" t="s">
        <v>11</v>
      </c>
      <c r="D739">
        <v>4.8011470000000004E-3</v>
      </c>
      <c r="E739" s="7">
        <f>ABS(D739)</f>
        <v>4.8011470000000004E-3</v>
      </c>
      <c r="F739">
        <v>0.15085791400000001</v>
      </c>
      <c r="G739">
        <v>146</v>
      </c>
      <c r="H739">
        <v>36</v>
      </c>
      <c r="I739">
        <v>0.97465548800000001</v>
      </c>
      <c r="J739">
        <v>0.99324564699999995</v>
      </c>
      <c r="K739">
        <f>IF(C739=C738,K738+1,1)</f>
        <v>2</v>
      </c>
      <c r="L739">
        <f>MIN(((374/K739)*I739),L740)</f>
        <v>182.05907478</v>
      </c>
      <c r="M739">
        <f>-LOG10(L739)</f>
        <v>-2.2602123313262856</v>
      </c>
    </row>
    <row r="740" spans="1:13" x14ac:dyDescent="0.2">
      <c r="A740" t="s">
        <v>71</v>
      </c>
      <c r="B740" t="s">
        <v>24</v>
      </c>
      <c r="C740" t="s">
        <v>25</v>
      </c>
      <c r="D740">
        <v>-3.4788219999999999E-3</v>
      </c>
      <c r="E740" s="7">
        <f>ABS(D740)</f>
        <v>3.4788219999999999E-3</v>
      </c>
      <c r="F740">
        <v>0.13813598299999999</v>
      </c>
      <c r="G740">
        <v>146</v>
      </c>
      <c r="H740">
        <v>34</v>
      </c>
      <c r="I740">
        <v>0.97994327699999995</v>
      </c>
      <c r="J740">
        <v>0.99407810699999999</v>
      </c>
      <c r="K740">
        <f>IF(C740=C739,K739+1,1)</f>
        <v>1</v>
      </c>
      <c r="L740">
        <f>MIN(((374/K740)*I740),L741)</f>
        <v>182.05907478</v>
      </c>
      <c r="M740">
        <f>-LOG10(L740)</f>
        <v>-2.2602123313262856</v>
      </c>
    </row>
    <row r="741" spans="1:13" x14ac:dyDescent="0.2">
      <c r="A741" t="s">
        <v>352</v>
      </c>
      <c r="B741" t="s">
        <v>10</v>
      </c>
      <c r="C741" t="s">
        <v>11</v>
      </c>
      <c r="D741">
        <v>3.1797520000000001E-3</v>
      </c>
      <c r="E741" s="7">
        <f>ABS(D741)</f>
        <v>3.1797520000000001E-3</v>
      </c>
      <c r="F741">
        <v>0.17304760299999999</v>
      </c>
      <c r="G741">
        <v>146</v>
      </c>
      <c r="H741">
        <v>20</v>
      </c>
      <c r="I741">
        <v>0.98536530099999997</v>
      </c>
      <c r="J741">
        <v>0.99516629199999995</v>
      </c>
      <c r="K741">
        <f>IF(C741=C740,K740+1,1)</f>
        <v>1</v>
      </c>
      <c r="L741">
        <f>MIN(((374/K741)*I741),L742)</f>
        <v>182.05907478</v>
      </c>
      <c r="M741">
        <f>-LOG10(L741)</f>
        <v>-2.2602123313262856</v>
      </c>
    </row>
    <row r="742" spans="1:13" x14ac:dyDescent="0.2">
      <c r="A742" t="s">
        <v>386</v>
      </c>
      <c r="B742" t="s">
        <v>10</v>
      </c>
      <c r="C742" t="s">
        <v>11</v>
      </c>
      <c r="D742">
        <v>-2.9617250000000001E-3</v>
      </c>
      <c r="E742" s="7">
        <f>ABS(D742)</f>
        <v>2.9617250000000001E-3</v>
      </c>
      <c r="F742">
        <v>8.9264455000000006E-2</v>
      </c>
      <c r="G742">
        <v>146</v>
      </c>
      <c r="H742">
        <v>17</v>
      </c>
      <c r="I742">
        <v>0.97357793999999998</v>
      </c>
      <c r="J742">
        <v>0.99324564699999995</v>
      </c>
      <c r="K742">
        <f>IF(C742=C741,K741+1,1)</f>
        <v>2</v>
      </c>
      <c r="L742">
        <f>MIN(((374/K742)*I742),L743)</f>
        <v>182.05907478</v>
      </c>
      <c r="M742">
        <f>-LOG10(L742)</f>
        <v>-2.2602123313262856</v>
      </c>
    </row>
    <row r="743" spans="1:13" x14ac:dyDescent="0.2">
      <c r="A743" t="s">
        <v>41</v>
      </c>
      <c r="B743" t="s">
        <v>24</v>
      </c>
      <c r="C743" t="s">
        <v>25</v>
      </c>
      <c r="D743">
        <v>-1.2540780000000001E-3</v>
      </c>
      <c r="E743" s="7">
        <f>ABS(D743)</f>
        <v>1.2540780000000001E-3</v>
      </c>
      <c r="F743">
        <v>0.13170685500000001</v>
      </c>
      <c r="G743">
        <v>146</v>
      </c>
      <c r="H743">
        <v>27</v>
      </c>
      <c r="I743">
        <v>0.992416136</v>
      </c>
      <c r="J743">
        <v>0.998973785</v>
      </c>
      <c r="K743">
        <f>IF(C743=C742,K742+1,1)</f>
        <v>1</v>
      </c>
      <c r="L743">
        <f>MIN(((374/K743)*I743),L744)</f>
        <v>186.077556676</v>
      </c>
      <c r="M743">
        <f>-LOG10(L743)</f>
        <v>-2.269693994841933</v>
      </c>
    </row>
    <row r="744" spans="1:13" x14ac:dyDescent="0.2">
      <c r="A744" t="s">
        <v>354</v>
      </c>
      <c r="B744" t="s">
        <v>24</v>
      </c>
      <c r="C744" t="s">
        <v>25</v>
      </c>
      <c r="D744">
        <v>1.2304379999999999E-3</v>
      </c>
      <c r="E744" s="7">
        <f>ABS(D744)</f>
        <v>1.2304379999999999E-3</v>
      </c>
      <c r="F744">
        <v>0.26506845699999998</v>
      </c>
      <c r="G744">
        <v>146</v>
      </c>
      <c r="H744">
        <v>87</v>
      </c>
      <c r="I744">
        <v>0.99630273199999997</v>
      </c>
      <c r="J744">
        <v>0.998973785</v>
      </c>
      <c r="K744">
        <f>IF(C744=C743,K743+1,1)</f>
        <v>2</v>
      </c>
      <c r="L744">
        <f>MIN(((374/K744)*I744),L745)</f>
        <v>186.077556676</v>
      </c>
      <c r="M744">
        <f>-LOG10(L744)</f>
        <v>-2.269693994841933</v>
      </c>
    </row>
    <row r="745" spans="1:13" x14ac:dyDescent="0.2">
      <c r="A745" t="s">
        <v>385</v>
      </c>
      <c r="B745" t="s">
        <v>10</v>
      </c>
      <c r="C745" t="s">
        <v>11</v>
      </c>
      <c r="D745">
        <v>-6.8653200000000001E-4</v>
      </c>
      <c r="E745" s="7">
        <f>ABS(D745)</f>
        <v>6.8653200000000001E-4</v>
      </c>
      <c r="F745">
        <v>0.110836926</v>
      </c>
      <c r="G745">
        <v>146</v>
      </c>
      <c r="H745">
        <v>19</v>
      </c>
      <c r="I745">
        <v>0.99506650799999996</v>
      </c>
      <c r="J745">
        <v>0.998973785</v>
      </c>
      <c r="K745">
        <f>IF(C745=C744,K744+1,1)</f>
        <v>1</v>
      </c>
      <c r="L745">
        <f>MIN(((374/K745)*I745),L746)</f>
        <v>186.077556676</v>
      </c>
      <c r="M745">
        <f>-LOG10(L745)</f>
        <v>-2.269693994841933</v>
      </c>
    </row>
    <row r="746" spans="1:13" x14ac:dyDescent="0.2">
      <c r="A746" t="s">
        <v>34</v>
      </c>
      <c r="B746" t="s">
        <v>24</v>
      </c>
      <c r="C746" t="s">
        <v>25</v>
      </c>
      <c r="D746">
        <v>6.4732099999999996E-4</v>
      </c>
      <c r="E746" s="7">
        <f>ABS(D746)</f>
        <v>6.4732099999999996E-4</v>
      </c>
      <c r="F746">
        <v>0.11383935100000001</v>
      </c>
      <c r="G746">
        <v>146</v>
      </c>
      <c r="H746">
        <v>18</v>
      </c>
      <c r="I746">
        <v>0.99547096400000001</v>
      </c>
      <c r="J746">
        <v>0.998973785</v>
      </c>
      <c r="K746">
        <f>IF(C746=C745,K745+1,1)</f>
        <v>1</v>
      </c>
      <c r="L746">
        <f>MIN(((374/K746)*I746),L747)</f>
        <v>186.077556676</v>
      </c>
      <c r="M746">
        <f>-LOG10(L746)</f>
        <v>-2.269693994841933</v>
      </c>
    </row>
    <row r="747" spans="1:13" x14ac:dyDescent="0.2">
      <c r="A747" t="s">
        <v>315</v>
      </c>
      <c r="B747" t="s">
        <v>24</v>
      </c>
      <c r="C747" t="s">
        <v>25</v>
      </c>
      <c r="D747">
        <v>5.7470999999999998E-4</v>
      </c>
      <c r="E747" s="7">
        <f>ABS(D747)</f>
        <v>5.7470999999999998E-4</v>
      </c>
      <c r="F747">
        <v>9.2795888000000007E-2</v>
      </c>
      <c r="G747">
        <v>146</v>
      </c>
      <c r="H747">
        <v>17</v>
      </c>
      <c r="I747">
        <v>0.99506714799999996</v>
      </c>
      <c r="J747">
        <v>0.998973785</v>
      </c>
      <c r="K747">
        <f>IF(C747=C746,K746+1,1)</f>
        <v>2</v>
      </c>
      <c r="L747">
        <f>MIN(((374/K747)*I747),L748)</f>
        <v>186.077556676</v>
      </c>
      <c r="M747">
        <f>-LOG10(L747)</f>
        <v>-2.269693994841933</v>
      </c>
    </row>
    <row r="748" spans="1:13" x14ac:dyDescent="0.2">
      <c r="A748" t="s">
        <v>365</v>
      </c>
      <c r="B748" t="s">
        <v>10</v>
      </c>
      <c r="C748" t="s">
        <v>11</v>
      </c>
      <c r="D748">
        <v>5.2001499999999997E-4</v>
      </c>
      <c r="E748" s="7">
        <f>ABS(D748)</f>
        <v>5.2001499999999997E-4</v>
      </c>
      <c r="F748">
        <v>0.215694991</v>
      </c>
      <c r="G748">
        <v>146</v>
      </c>
      <c r="H748">
        <v>20</v>
      </c>
      <c r="I748">
        <v>0.99807975800000004</v>
      </c>
      <c r="J748">
        <v>0.99941587600000004</v>
      </c>
      <c r="K748">
        <f>IF(C748=C747,K747+1,1)</f>
        <v>1</v>
      </c>
      <c r="L748">
        <f>MIN(374/K748)*J748</f>
        <v>373.78153762400001</v>
      </c>
      <c r="M748">
        <f>-LOG10(L748)</f>
        <v>-2.5726178462508456</v>
      </c>
    </row>
    <row r="749" spans="1:13" x14ac:dyDescent="0.2">
      <c r="A749" t="s">
        <v>40</v>
      </c>
      <c r="B749" t="s">
        <v>24</v>
      </c>
      <c r="C749" t="s">
        <v>25</v>
      </c>
      <c r="D749" s="1">
        <v>1.33E-5</v>
      </c>
      <c r="E749" s="7">
        <f>ABS(D749)</f>
        <v>1.33E-5</v>
      </c>
      <c r="F749">
        <v>0.29997917600000001</v>
      </c>
      <c r="G749">
        <v>146</v>
      </c>
      <c r="H749">
        <v>49</v>
      </c>
      <c r="I749">
        <v>0.99996474099999999</v>
      </c>
      <c r="J749">
        <v>0.99996474099999999</v>
      </c>
      <c r="K749">
        <f>IF(C749=C748,K748+1,1)</f>
        <v>1</v>
      </c>
      <c r="L749">
        <f>I749</f>
        <v>0.99996474099999999</v>
      </c>
      <c r="M749">
        <f>-LOG10(L749)</f>
        <v>1.5313059100592839E-5</v>
      </c>
    </row>
  </sheetData>
  <sortState xmlns:xlrd2="http://schemas.microsoft.com/office/spreadsheetml/2017/richdata2" ref="A2:M750">
    <sortCondition descending="1" ref="E1:E750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Castaneda Mogollon</dc:creator>
  <cp:lastModifiedBy>Daniel Castaneda Mogollon</cp:lastModifiedBy>
  <dcterms:created xsi:type="dcterms:W3CDTF">2026-06-01T16:59:09Z</dcterms:created>
  <dcterms:modified xsi:type="dcterms:W3CDTF">2026-06-01T16:59:19Z</dcterms:modified>
</cp:coreProperties>
</file>